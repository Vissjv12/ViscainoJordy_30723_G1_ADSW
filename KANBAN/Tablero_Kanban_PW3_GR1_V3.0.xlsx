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dy\Downloads\"/>
    </mc:Choice>
  </mc:AlternateContent>
  <xr:revisionPtr revIDLastSave="0" documentId="8_{E9ECA419-87B3-425E-B098-B68A7FB2A304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F2" i="3" l="1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D16" i="5" s="1" a="1"/>
  <c r="D16" i="5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D46" i="5" s="1" a="1"/>
  <c r="D46" i="5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34" i="5" l="1" a="1"/>
  <c r="D34" i="5" s="1"/>
  <c r="D12" i="5" a="1"/>
  <c r="D12" i="5" s="1"/>
  <c r="D24" i="5" a="1"/>
  <c r="D24" i="5" s="1"/>
  <c r="D6" i="5" a="1"/>
  <c r="D6" i="5" s="1"/>
  <c r="D25" i="5" a="1"/>
  <c r="D25" i="5" s="1"/>
  <c r="D31" i="5" a="1"/>
  <c r="D31" i="5" s="1"/>
  <c r="D14" i="5" a="1"/>
  <c r="D14" i="5" s="1"/>
  <c r="D9" i="5" a="1"/>
  <c r="D9" i="5" s="1"/>
  <c r="D27" i="5" a="1"/>
  <c r="D27" i="5" s="1"/>
  <c r="D39" i="5" a="1"/>
  <c r="D39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82" i="5"/>
  <c r="K56" i="5"/>
  <c r="K6" i="5"/>
  <c r="K12" i="5"/>
  <c r="K10" i="5"/>
  <c r="K9" i="5"/>
  <c r="K73" i="5"/>
  <c r="K5" i="5"/>
  <c r="K62" i="5"/>
  <c r="K2" i="5"/>
  <c r="K7" i="5"/>
  <c r="K50" i="5"/>
  <c r="K20" i="5"/>
  <c r="K65" i="5"/>
  <c r="K75" i="5"/>
  <c r="K4" i="5"/>
  <c r="K17" i="5"/>
  <c r="K88" i="5"/>
  <c r="K28" i="5"/>
  <c r="K8" i="5"/>
  <c r="K71" i="5"/>
  <c r="K13" i="5"/>
  <c r="K37" i="5"/>
  <c r="K79" i="5"/>
  <c r="K85" i="5"/>
  <c r="K60" i="5"/>
  <c r="K55" i="5"/>
  <c r="K57" i="5"/>
  <c r="K19" i="5"/>
  <c r="K81" i="5"/>
  <c r="K70" i="5"/>
  <c r="K76" i="5"/>
  <c r="K14" i="5"/>
  <c r="K21" i="5"/>
  <c r="K46" i="5"/>
  <c r="K101" i="5"/>
  <c r="K66" i="5"/>
  <c r="K16" i="5"/>
  <c r="K34" i="5"/>
  <c r="K78" i="5"/>
  <c r="K26" i="5"/>
  <c r="K51" i="5"/>
  <c r="K54" i="5"/>
  <c r="K69" i="5"/>
  <c r="K31" i="5"/>
  <c r="K68" i="5"/>
  <c r="K33" i="5"/>
  <c r="K72" i="5"/>
  <c r="K43" i="5"/>
  <c r="K30" i="5"/>
  <c r="K18" i="5"/>
  <c r="K40" i="5"/>
  <c r="K97" i="5"/>
  <c r="K24" i="5"/>
  <c r="K44" i="5"/>
  <c r="K94" i="5"/>
  <c r="K32" i="5"/>
  <c r="K11" i="5"/>
  <c r="K42" i="5"/>
  <c r="K100" i="5"/>
  <c r="K22" i="5"/>
  <c r="K27" i="5"/>
  <c r="K99" i="5"/>
  <c r="K38" i="5"/>
  <c r="K29" i="5"/>
  <c r="K58" i="5"/>
  <c r="K53" i="5"/>
  <c r="K52" i="5"/>
  <c r="K80" i="5"/>
  <c r="K95" i="5"/>
  <c r="K67" i="5"/>
  <c r="K59" i="5"/>
  <c r="K90" i="5"/>
  <c r="K87" i="5"/>
  <c r="K74" i="5"/>
  <c r="K49" i="5"/>
  <c r="K47" i="5"/>
  <c r="K83" i="5"/>
  <c r="K89" i="5"/>
  <c r="K36" i="5"/>
  <c r="K98" i="5"/>
  <c r="K25" i="5"/>
  <c r="K63" i="5"/>
  <c r="K48" i="5"/>
  <c r="K93" i="5"/>
  <c r="K15" i="5"/>
  <c r="K91" i="5"/>
  <c r="K77" i="5"/>
  <c r="K39" i="5"/>
  <c r="K35" i="5"/>
  <c r="K86" i="5"/>
  <c r="K92" i="5"/>
  <c r="K45" i="5"/>
  <c r="K96" i="5"/>
  <c r="K61" i="5"/>
  <c r="K3" i="5"/>
  <c r="K84" i="5"/>
  <c r="K64" i="5"/>
  <c r="K41" i="5"/>
  <c r="K23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M43" i="5"/>
  <c r="L18" i="5"/>
  <c r="M55" i="5"/>
  <c r="N101" i="5"/>
  <c r="N10" i="5"/>
  <c r="L12" i="5"/>
  <c r="L35" i="5"/>
  <c r="M62" i="5"/>
  <c r="M14" i="5"/>
  <c r="M37" i="5"/>
  <c r="M4" i="5"/>
  <c r="M75" i="5"/>
  <c r="L36" i="5"/>
  <c r="N96" i="5"/>
  <c r="N34" i="5"/>
  <c r="L90" i="5"/>
  <c r="M93" i="5"/>
  <c r="L49" i="5"/>
  <c r="N2" i="5"/>
  <c r="M58" i="5"/>
  <c r="M100" i="5"/>
  <c r="N27" i="5"/>
  <c r="L95" i="5"/>
  <c r="M9" i="5"/>
  <c r="L53" i="5"/>
  <c r="L24" i="5"/>
  <c r="L43" i="5"/>
  <c r="L26" i="5"/>
  <c r="N40" i="5"/>
  <c r="M42" i="5"/>
  <c r="N16" i="5"/>
  <c r="N41" i="5"/>
  <c r="L23" i="5"/>
  <c r="L37" i="5"/>
  <c r="N36" i="5"/>
  <c r="L72" i="5"/>
  <c r="M73" i="5"/>
  <c r="L31" i="5"/>
  <c r="N49" i="5"/>
  <c r="N42" i="5"/>
  <c r="M33" i="5"/>
  <c r="M56" i="5"/>
  <c r="M52" i="5"/>
  <c r="L75" i="5"/>
  <c r="L68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L85" i="5"/>
  <c r="N14" i="5"/>
  <c r="L79" i="5"/>
  <c r="N89" i="5"/>
  <c r="N59" i="5"/>
  <c r="L59" i="5"/>
  <c r="M70" i="5"/>
  <c r="N92" i="5"/>
  <c r="L86" i="5"/>
  <c r="M91" i="5"/>
  <c r="L13" i="5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L55" i="5"/>
  <c r="N31" i="5"/>
  <c r="M23" i="5"/>
  <c r="L82" i="5"/>
  <c r="M26" i="5"/>
  <c r="L17" i="5"/>
  <c r="L101" i="5"/>
  <c r="L56" i="5"/>
  <c r="M32" i="5"/>
  <c r="L41" i="5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M74" i="5"/>
  <c r="L45" i="5"/>
  <c r="L91" i="5"/>
  <c r="L47" i="5"/>
  <c r="N99" i="5"/>
  <c r="L29" i="5"/>
  <c r="L48" i="5"/>
  <c r="N4" i="5"/>
  <c r="M35" i="5"/>
  <c r="M81" i="5"/>
  <c r="M87" i="5"/>
  <c r="N56" i="5"/>
  <c r="M29" i="5"/>
  <c r="M51" i="5"/>
  <c r="N55" i="5"/>
  <c r="L93" i="5"/>
  <c r="M45" i="5"/>
  <c r="M82" i="5"/>
  <c r="M40" i="5"/>
  <c r="M39" i="5"/>
  <c r="N97" i="5"/>
  <c r="N75" i="5"/>
  <c r="L57" i="5"/>
  <c r="M12" i="5"/>
  <c r="L71" i="5"/>
  <c r="N6" i="5"/>
  <c r="M63" i="5"/>
  <c r="M85" i="5"/>
  <c r="M92" i="5"/>
  <c r="L15" i="5"/>
  <c r="N87" i="5"/>
  <c r="N62" i="5"/>
  <c r="M101" i="5"/>
  <c r="L96" i="5"/>
  <c r="L34" i="5"/>
  <c r="M36" i="5"/>
  <c r="M64" i="5"/>
  <c r="M3" i="5"/>
  <c r="M28" i="5"/>
  <c r="M18" i="5"/>
  <c r="M68" i="5"/>
  <c r="L83" i="5"/>
  <c r="M89" i="5"/>
  <c r="M98" i="5"/>
  <c r="N93" i="5"/>
  <c r="N65" i="5"/>
  <c r="M41" i="5"/>
  <c r="M31" i="5"/>
  <c r="L30" i="5"/>
  <c r="L16" i="5"/>
  <c r="N66" i="5"/>
  <c r="N33" i="5"/>
  <c r="N84" i="5"/>
  <c r="N86" i="5"/>
  <c r="M95" i="5"/>
  <c r="N29" i="5"/>
  <c r="M86" i="5"/>
  <c r="M17" i="5"/>
  <c r="M20" i="5"/>
  <c r="N43" i="5"/>
  <c r="N80" i="5"/>
  <c r="L70" i="5"/>
  <c r="N11" i="5"/>
  <c r="L11" i="5"/>
  <c r="L78" i="5"/>
  <c r="N18" i="5"/>
  <c r="L77" i="5"/>
  <c r="N68" i="5"/>
  <c r="N72" i="5"/>
  <c r="M97" i="5"/>
  <c r="N82" i="5"/>
  <c r="N15" i="5"/>
  <c r="N79" i="5"/>
  <c r="N71" i="5"/>
  <c r="N48" i="5"/>
  <c r="N57" i="5"/>
  <c r="L33" i="5"/>
  <c r="M57" i="5"/>
  <c r="L60" i="5"/>
  <c r="M44" i="5"/>
  <c r="N8" i="5"/>
  <c r="M59" i="5"/>
  <c r="N78" i="5"/>
  <c r="L5" i="5"/>
  <c r="N35" i="5"/>
  <c r="N88" i="5"/>
  <c r="M78" i="5"/>
  <c r="N100" i="5"/>
  <c r="N53" i="5"/>
  <c r="N76" i="5"/>
  <c r="M53" i="5"/>
  <c r="M30" i="5"/>
  <c r="L9" i="5"/>
  <c r="L7" i="5"/>
  <c r="N69" i="5"/>
  <c r="M69" i="5"/>
  <c r="N64" i="5"/>
  <c r="L14" i="5"/>
  <c r="L92" i="5"/>
  <c r="M49" i="5"/>
  <c r="L3" i="5"/>
  <c r="N51" i="5"/>
  <c r="M25" i="5"/>
  <c r="M19" i="5"/>
  <c r="N45" i="5"/>
  <c r="M99" i="5"/>
  <c r="N17" i="5"/>
  <c r="N98" i="5"/>
  <c r="L2" i="5"/>
  <c r="L65" i="5"/>
  <c r="L74" i="5"/>
  <c r="N32" i="5"/>
  <c r="N58" i="5"/>
  <c r="M54" i="5"/>
  <c r="L44" i="5"/>
  <c r="N63" i="5"/>
  <c r="M15" i="5"/>
  <c r="M24" i="5"/>
  <c r="M16" i="5"/>
  <c r="N24" i="5"/>
  <c r="L51" i="5"/>
  <c r="N91" i="5"/>
  <c r="L62" i="5"/>
  <c r="N20" i="5"/>
  <c r="M13" i="5"/>
  <c r="L67" i="5"/>
  <c r="L58" i="5"/>
  <c r="M47" i="5"/>
  <c r="L61" i="5"/>
  <c r="M90" i="5"/>
  <c r="L64" i="5"/>
  <c r="N47" i="5"/>
  <c r="N22" i="5"/>
  <c r="L27" i="5"/>
  <c r="N25" i="5"/>
  <c r="N30" i="5"/>
  <c r="M50" i="5"/>
  <c r="N5" i="5"/>
  <c r="M66" i="5"/>
  <c r="L25" i="5"/>
  <c r="M67" i="5"/>
  <c r="N61" i="5"/>
  <c r="M88" i="5"/>
  <c r="N37" i="5"/>
  <c r="M22" i="5"/>
  <c r="L21" i="5"/>
  <c r="L84" i="5"/>
  <c r="N7" i="5"/>
  <c r="N85" i="5"/>
  <c r="L50" i="5"/>
  <c r="M72" i="5"/>
  <c r="N74" i="5"/>
  <c r="L98" i="5"/>
  <c r="L8" i="5"/>
  <c r="L87" i="5"/>
  <c r="M77" i="5"/>
  <c r="L39" i="5"/>
  <c r="N38" i="5"/>
  <c r="L28" i="5"/>
  <c r="N67" i="5"/>
  <c r="L22" i="5"/>
  <c r="L97" i="5"/>
  <c r="N50" i="5"/>
  <c r="M8" i="5"/>
  <c r="L20" i="5"/>
  <c r="M11" i="5"/>
  <c r="N44" i="5"/>
  <c r="M84" i="5"/>
  <c r="M34" i="5"/>
  <c r="N3" i="5"/>
  <c r="L94" i="5"/>
  <c r="M48" i="5"/>
  <c r="M65" i="5"/>
  <c r="L40" i="5"/>
  <c r="L76" i="5"/>
  <c r="N90" i="5"/>
  <c r="L89" i="5"/>
  <c r="N9" i="5"/>
  <c r="N77" i="5"/>
  <c r="N28" i="5"/>
  <c r="N23" i="5"/>
  <c r="M5" i="5"/>
  <c r="N81" i="5"/>
  <c r="N46" i="5"/>
  <c r="N26" i="5"/>
  <c r="M94" i="5"/>
  <c r="L32" i="5"/>
  <c r="N73" i="5"/>
  <c r="M46" i="5"/>
  <c r="N13" i="5"/>
  <c r="M27" i="5"/>
  <c r="M80" i="5"/>
  <c r="M10" i="5"/>
  <c r="M79" i="5"/>
  <c r="M38" i="5"/>
  <c r="M21" i="5"/>
  <c r="M6" i="5"/>
  <c r="L52" i="5"/>
  <c r="N83" i="5"/>
  <c r="L88" i="5"/>
  <c r="M2" i="5"/>
  <c r="M83" i="5"/>
  <c r="L46" i="5"/>
  <c r="M61" i="5"/>
  <c r="M60" i="5"/>
  <c r="L99" i="5"/>
  <c r="L80" i="5"/>
  <c r="M76" i="5"/>
  <c r="N60" i="5"/>
  <c r="L6" i="5"/>
  <c r="N52" i="5"/>
  <c r="M7" i="5"/>
  <c r="N21" i="5"/>
  <c r="L100" i="5"/>
  <c r="L81" i="5"/>
  <c r="N70" i="5"/>
  <c r="N39" i="5"/>
  <c r="L4" i="5"/>
  <c r="L19" i="5"/>
  <c r="L10" i="5"/>
  <c r="L66" i="5"/>
  <c r="L38" i="5"/>
  <c r="N19" i="5"/>
  <c r="L73" i="5"/>
  <c r="N94" i="5"/>
  <c r="M96" i="5"/>
  <c r="N54" i="5"/>
  <c r="L54" i="5"/>
  <c r="L69" i="5"/>
  <c r="M71" i="5"/>
  <c r="L42" i="5"/>
  <c r="N12" i="5"/>
  <c r="N95" i="5"/>
  <c r="L63" i="5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7" i="5"/>
  <c r="J30" i="5"/>
  <c r="J95" i="5"/>
  <c r="J4" i="5"/>
  <c r="J2" i="5"/>
  <c r="J97" i="5"/>
  <c r="J84" i="5"/>
  <c r="J80" i="5"/>
  <c r="J13" i="5"/>
  <c r="J18" i="5"/>
  <c r="J62" i="5"/>
  <c r="J50" i="5"/>
  <c r="J65" i="5"/>
  <c r="J64" i="5"/>
  <c r="J37" i="5"/>
  <c r="J33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J77" i="5"/>
  <c r="J31" i="5"/>
  <c r="J70" i="5"/>
  <c r="J88" i="5"/>
  <c r="J82" i="5"/>
  <c r="J93" i="5"/>
  <c r="J17" i="5"/>
  <c r="J55" i="5"/>
  <c r="J10" i="5"/>
  <c r="J87" i="5"/>
  <c r="J23" i="5"/>
  <c r="J3" i="5"/>
  <c r="J9" i="5"/>
  <c r="J76" i="5"/>
  <c r="J73" i="5"/>
  <c r="J22" i="5"/>
  <c r="J56" i="5"/>
  <c r="J92" i="5"/>
  <c r="J61" i="5"/>
  <c r="J15" i="5"/>
  <c r="J40" i="5"/>
  <c r="J48" i="5"/>
  <c r="J5" i="5"/>
  <c r="J83" i="5"/>
  <c r="J41" i="5"/>
  <c r="J42" i="5"/>
  <c r="J98" i="5"/>
  <c r="J67" i="5"/>
  <c r="J94" i="5"/>
  <c r="J60" i="5"/>
  <c r="J54" i="5"/>
  <c r="J27" i="5"/>
  <c r="J34" i="5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J49" i="5"/>
  <c r="J68" i="5"/>
  <c r="J29" i="5"/>
  <c r="J81" i="5"/>
  <c r="J72" i="5"/>
  <c r="J59" i="5"/>
  <c r="J51" i="5"/>
  <c r="J78" i="5"/>
  <c r="J63" i="5"/>
  <c r="J66" i="5"/>
  <c r="J101" i="5"/>
  <c r="J38" i="5"/>
  <c r="J11" i="5"/>
  <c r="J52" i="5"/>
  <c r="J90" i="5"/>
  <c r="J45" i="5"/>
  <c r="J47" i="5"/>
  <c r="J74" i="5"/>
  <c r="J99" i="5"/>
  <c r="J6" i="5"/>
  <c r="J35" i="5"/>
  <c r="J8" i="5"/>
  <c r="J96" i="5"/>
  <c r="J21" i="5"/>
  <c r="J25" i="5"/>
  <c r="J53" i="5"/>
  <c r="J28" i="5"/>
  <c r="J16" i="5"/>
  <c r="J75" i="5"/>
  <c r="J32" i="5"/>
  <c r="J86" i="5"/>
  <c r="J20" i="5"/>
  <c r="J36" i="5"/>
  <c r="J39" i="5"/>
  <c r="J91" i="5"/>
  <c r="J44" i="5"/>
  <c r="J57" i="5"/>
  <c r="J26" i="5"/>
  <c r="J89" i="5"/>
  <c r="J58" i="5"/>
  <c r="J43" i="5"/>
  <c r="J14" i="5"/>
  <c r="J69" i="5"/>
  <c r="J12" i="5"/>
  <c r="J46" i="5"/>
  <c r="J19" i="5"/>
  <c r="J71" i="5"/>
  <c r="J85" i="5"/>
  <c r="J24" i="5"/>
  <c r="J100" i="5"/>
  <c r="J79" i="5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53" i="5"/>
  <c r="G39" i="5"/>
  <c r="G60" i="5"/>
  <c r="G30" i="5"/>
  <c r="G7" i="5"/>
  <c r="G46" i="5"/>
  <c r="G97" i="5"/>
  <c r="G78" i="5"/>
  <c r="G49" i="5"/>
  <c r="G77" i="5"/>
  <c r="G93" i="5"/>
  <c r="G4" i="5"/>
  <c r="G8" i="5"/>
  <c r="G23" i="5"/>
  <c r="G91" i="5"/>
  <c r="G33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27" i="5"/>
  <c r="G101" i="5"/>
  <c r="G50" i="5"/>
  <c r="G71" i="5"/>
  <c r="G10" i="5"/>
  <c r="G83" i="5"/>
  <c r="G16" i="5"/>
  <c r="G12" i="5"/>
  <c r="G18" i="5"/>
  <c r="G56" i="5"/>
  <c r="G3" i="5"/>
  <c r="G66" i="5"/>
  <c r="G17" i="5"/>
  <c r="G43" i="5"/>
  <c r="G45" i="5"/>
  <c r="G72" i="5"/>
  <c r="G5" i="5"/>
  <c r="G69" i="5"/>
  <c r="G40" i="5"/>
  <c r="G13" i="5"/>
  <c r="G58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G29" i="5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G68" i="5"/>
  <c r="G6" i="5"/>
  <c r="G38" i="5"/>
  <c r="G81" i="5"/>
  <c r="G89" i="5"/>
  <c r="G79" i="5"/>
  <c r="G15" i="5"/>
  <c r="G90" i="5"/>
  <c r="G65" i="5"/>
  <c r="G55" i="5"/>
  <c r="G31" i="5"/>
  <c r="G94" i="5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G61" i="5"/>
  <c r="G47" i="5"/>
  <c r="G14" i="5"/>
  <c r="G22" i="5"/>
  <c r="G48" i="5"/>
  <c r="G26" i="5"/>
  <c r="G25" i="5"/>
  <c r="G85" i="5"/>
  <c r="G63" i="5"/>
  <c r="G88" i="5"/>
  <c r="G51" i="5"/>
  <c r="G32" i="5"/>
  <c r="G42" i="5"/>
  <c r="G24" i="5"/>
  <c r="G62" i="5"/>
  <c r="G34" i="5"/>
  <c r="G20" i="5"/>
  <c r="G52" i="5"/>
  <c r="G36" i="5"/>
  <c r="G9" i="5"/>
  <c r="G70" i="5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86" i="5"/>
  <c r="F43" i="5"/>
  <c r="G73" i="5"/>
  <c r="G11" i="5"/>
  <c r="F28" i="5"/>
  <c r="G44" i="5"/>
  <c r="F70" i="5"/>
  <c r="F13" i="5"/>
  <c r="F22" i="5"/>
  <c r="F66" i="5"/>
  <c r="F57" i="5"/>
  <c r="G80" i="5"/>
  <c r="F30" i="5"/>
  <c r="G37" i="5"/>
  <c r="G100" i="5"/>
  <c r="G92" i="5"/>
  <c r="F8" i="5"/>
  <c r="F97" i="5"/>
  <c r="F14" i="5"/>
  <c r="F25" i="5"/>
  <c r="G19" i="5"/>
  <c r="F54" i="5"/>
  <c r="F49" i="5"/>
  <c r="F88" i="5"/>
  <c r="F6" i="5"/>
  <c r="F60" i="5"/>
  <c r="F34" i="5"/>
  <c r="G76" i="5"/>
  <c r="F95" i="5"/>
  <c r="F69" i="5"/>
  <c r="F45" i="5"/>
  <c r="F65" i="5"/>
  <c r="F77" i="5"/>
  <c r="G96" i="5"/>
  <c r="G64" i="5"/>
  <c r="F92" i="5"/>
  <c r="F31" i="5"/>
  <c r="F11" i="5"/>
  <c r="G74" i="5"/>
  <c r="G28" i="5"/>
  <c r="G95" i="5"/>
  <c r="G57" i="5"/>
  <c r="F64" i="5"/>
  <c r="F44" i="5"/>
  <c r="F98" i="5"/>
  <c r="F81" i="5"/>
  <c r="G99" i="5"/>
  <c r="G21" i="5"/>
  <c r="G82" i="5"/>
  <c r="F90" i="5"/>
  <c r="F12" i="5"/>
  <c r="F96" i="5"/>
  <c r="F24" i="5"/>
  <c r="F94" i="5"/>
  <c r="F63" i="5"/>
  <c r="F67" i="5"/>
  <c r="G84" i="5"/>
  <c r="G75" i="5"/>
  <c r="F32" i="5"/>
  <c r="F56" i="5"/>
  <c r="F15" i="5"/>
  <c r="G59" i="5"/>
  <c r="G87" i="5"/>
  <c r="G67" i="5"/>
  <c r="F21" i="5"/>
  <c r="F27" i="5"/>
  <c r="F33" i="5"/>
  <c r="F87" i="5"/>
  <c r="F68" i="5"/>
  <c r="G98" i="5"/>
  <c r="G2" i="5"/>
  <c r="F52" i="5"/>
  <c r="G86" i="5"/>
  <c r="G54" i="5"/>
  <c r="F47" i="5"/>
  <c r="F50" i="5"/>
  <c r="G35" i="5"/>
  <c r="F9" i="5"/>
  <c r="G41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F51" i="5"/>
  <c r="F61" i="5"/>
  <c r="F7" i="5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F99" i="5"/>
  <c r="F2" i="5"/>
  <c r="F46" i="5"/>
  <c r="F59" i="5"/>
  <c r="F10" i="5"/>
  <c r="H16" i="5"/>
  <c r="F48" i="5"/>
  <c r="F53" i="5"/>
  <c r="F29" i="5"/>
  <c r="F38" i="5"/>
  <c r="F85" i="5"/>
  <c r="F26" i="5"/>
  <c r="F79" i="5"/>
  <c r="F76" i="5"/>
  <c r="F17" i="5"/>
  <c r="F91" i="5"/>
  <c r="F41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F39" i="5"/>
  <c r="H6" i="5"/>
  <c r="H73" i="5"/>
  <c r="H19" i="5"/>
  <c r="H72" i="5"/>
  <c r="F18" i="5"/>
  <c r="F71" i="5"/>
  <c r="F62" i="5"/>
  <c r="H96" i="5"/>
  <c r="H84" i="5"/>
  <c r="H11" i="5"/>
  <c r="H3" i="5"/>
  <c r="H8" i="5"/>
  <c r="H42" i="5"/>
  <c r="H79" i="5"/>
  <c r="H58" i="5"/>
  <c r="H38" i="5"/>
  <c r="H48" i="5"/>
  <c r="F42" i="5"/>
  <c r="H91" i="5"/>
  <c r="F100" i="5"/>
  <c r="H2" i="5"/>
  <c r="H15" i="5"/>
  <c r="F75" i="5"/>
  <c r="H46" i="5"/>
  <c r="H34" i="5"/>
  <c r="F3" i="5"/>
  <c r="H24" i="5"/>
  <c r="H64" i="5"/>
  <c r="H63" i="5"/>
  <c r="H13" i="5"/>
  <c r="F40" i="5"/>
  <c r="F84" i="5"/>
  <c r="H35" i="5"/>
  <c r="H83" i="5"/>
  <c r="H100" i="5"/>
  <c r="H45" i="5"/>
  <c r="F80" i="5"/>
  <c r="F36" i="5"/>
  <c r="H82" i="5"/>
  <c r="H70" i="5"/>
  <c r="H61" i="5"/>
  <c r="H77" i="5"/>
  <c r="H71" i="5"/>
  <c r="H67" i="5"/>
  <c r="H55" i="5"/>
  <c r="H12" i="5"/>
  <c r="H52" i="5"/>
  <c r="H44" i="5"/>
  <c r="F101" i="5"/>
  <c r="H39" i="5"/>
  <c r="H26" i="5"/>
  <c r="H75" i="5"/>
  <c r="H36" i="5"/>
  <c r="H28" i="5"/>
  <c r="H62" i="5"/>
  <c r="F58" i="5"/>
  <c r="H7" i="5"/>
  <c r="F82" i="5"/>
  <c r="H49" i="5"/>
  <c r="H20" i="5"/>
  <c r="H54" i="5"/>
  <c r="H98" i="5"/>
  <c r="F19" i="5"/>
  <c r="H9" i="5"/>
  <c r="H33" i="5"/>
  <c r="H85" i="5"/>
  <c r="F83" i="5"/>
  <c r="H66" i="5"/>
  <c r="H31" i="5"/>
  <c r="H14" i="5"/>
  <c r="H80" i="5"/>
  <c r="H95" i="5"/>
  <c r="F23" i="5"/>
  <c r="H87" i="5"/>
  <c r="F37" i="5"/>
  <c r="H92" i="5"/>
  <c r="H65" i="5"/>
  <c r="H88" i="5"/>
  <c r="H93" i="5"/>
  <c r="H25" i="5"/>
  <c r="H17" i="5"/>
  <c r="H81" i="5"/>
  <c r="H86" i="5"/>
  <c r="F78" i="5"/>
  <c r="F5" i="5"/>
  <c r="H90" i="5"/>
  <c r="F89" i="5"/>
  <c r="H21" i="5"/>
  <c r="H30" i="5"/>
  <c r="H4" i="5"/>
  <c r="H94" i="5"/>
  <c r="H101" i="5"/>
  <c r="H51" i="5"/>
  <c r="H29" i="5"/>
  <c r="H59" i="5"/>
  <c r="H47" i="5"/>
  <c r="H78" i="5"/>
  <c r="F55" i="5"/>
  <c r="H74" i="5"/>
  <c r="H56" i="5"/>
  <c r="F4" i="5"/>
  <c r="H68" i="5"/>
  <c r="H57" i="5"/>
  <c r="H23" i="5"/>
  <c r="F16" i="5"/>
  <c r="F93" i="5"/>
  <c r="H37" i="5"/>
  <c r="H18" i="5"/>
  <c r="H32" i="5"/>
  <c r="H41" i="5"/>
  <c r="H60" i="5"/>
  <c r="F35" i="5"/>
  <c r="H76" i="5"/>
  <c r="H89" i="5"/>
  <c r="F74" i="5"/>
  <c r="H22" i="5"/>
  <c r="H27" i="5"/>
  <c r="H99" i="5"/>
  <c r="H5" i="5"/>
  <c r="H43" i="5"/>
  <c r="H10" i="5"/>
  <c r="H97" i="5"/>
  <c r="H53" i="5"/>
  <c r="H40" i="5"/>
  <c r="F20" i="5"/>
  <c r="F73" i="5"/>
  <c r="H50" i="5"/>
  <c r="H69" i="5"/>
  <c r="F72" i="5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73" i="5"/>
  <c r="I66" i="5"/>
  <c r="I97" i="5"/>
  <c r="I71" i="5"/>
  <c r="I33" i="5"/>
  <c r="I59" i="5"/>
  <c r="I79" i="5"/>
  <c r="I23" i="5"/>
  <c r="I69" i="5"/>
  <c r="I76" i="5"/>
  <c r="I75" i="5"/>
  <c r="I37" i="5"/>
  <c r="I28" i="5"/>
  <c r="I13" i="5"/>
  <c r="I42" i="5"/>
  <c r="I47" i="5"/>
  <c r="I6" i="5"/>
  <c r="I29" i="5"/>
  <c r="I12" i="5"/>
  <c r="I14" i="5"/>
  <c r="I51" i="5"/>
  <c r="I70" i="5"/>
  <c r="I67" i="5"/>
  <c r="I31" i="5"/>
  <c r="I61" i="5"/>
  <c r="I41" i="5"/>
  <c r="I32" i="5"/>
  <c r="I39" i="5"/>
  <c r="I11" i="5"/>
  <c r="I45" i="5"/>
  <c r="I7" i="5"/>
  <c r="I53" i="5"/>
  <c r="I18" i="5"/>
  <c r="I101" i="5"/>
  <c r="I56" i="5"/>
  <c r="I83" i="5"/>
  <c r="I85" i="5"/>
  <c r="I94" i="5"/>
  <c r="I95" i="5"/>
  <c r="I57" i="5"/>
  <c r="I27" i="5"/>
  <c r="I43" i="5"/>
  <c r="I72" i="5"/>
  <c r="I84" i="5"/>
  <c r="I89" i="5"/>
  <c r="I100" i="5"/>
  <c r="I86" i="5"/>
  <c r="I77" i="5"/>
  <c r="I8" i="5"/>
  <c r="I87" i="5"/>
  <c r="I17" i="5"/>
  <c r="I25" i="5"/>
  <c r="I96" i="5"/>
  <c r="I5" i="5"/>
  <c r="I3" i="5"/>
  <c r="I81" i="5"/>
  <c r="I4" i="5"/>
  <c r="I40" i="5"/>
  <c r="I90" i="5"/>
  <c r="I21" i="5"/>
  <c r="I26" i="5"/>
  <c r="C135" i="1" l="1" a="1"/>
  <c r="C135" i="1" s="1"/>
  <c r="D135" i="1" a="1"/>
  <c r="D135" i="1" s="1"/>
  <c r="C133" i="4"/>
  <c r="D133" i="4" s="1"/>
  <c r="E133" i="4" s="1" a="1"/>
  <c r="E133" i="4" s="1"/>
  <c r="I63" i="5"/>
  <c r="I34" i="5"/>
  <c r="I15" i="5"/>
  <c r="I38" i="5"/>
  <c r="I48" i="5"/>
  <c r="I74" i="5"/>
  <c r="I68" i="5"/>
  <c r="I54" i="5"/>
  <c r="I22" i="5"/>
  <c r="I82" i="5"/>
  <c r="I91" i="5"/>
  <c r="I19" i="5"/>
  <c r="I49" i="5"/>
  <c r="I10" i="5"/>
  <c r="I62" i="5"/>
  <c r="I80" i="5"/>
  <c r="I78" i="5"/>
  <c r="I24" i="5"/>
  <c r="I46" i="5"/>
  <c r="I30" i="5"/>
  <c r="I35" i="5"/>
  <c r="I88" i="5"/>
  <c r="I93" i="5"/>
  <c r="I98" i="5"/>
  <c r="I44" i="5"/>
  <c r="I9" i="5"/>
  <c r="I99" i="5"/>
  <c r="I50" i="5"/>
  <c r="I92" i="5"/>
  <c r="I20" i="5"/>
  <c r="I64" i="5"/>
  <c r="I65" i="5"/>
  <c r="I2" i="5"/>
  <c r="I16" i="5"/>
  <c r="I60" i="5"/>
  <c r="I52" i="5"/>
  <c r="I55" i="5"/>
  <c r="I58" i="5"/>
  <c r="I36" i="5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95" i="5"/>
  <c r="E66" i="5"/>
  <c r="E70" i="5"/>
  <c r="E4" i="5"/>
  <c r="E81" i="5"/>
  <c r="E92" i="5"/>
  <c r="E38" i="5"/>
  <c r="E54" i="5"/>
  <c r="E75" i="5"/>
  <c r="E17" i="5"/>
  <c r="E85" i="5"/>
  <c r="E64" i="5"/>
  <c r="E37" i="5"/>
  <c r="E43" i="5"/>
  <c r="E29" i="5"/>
  <c r="E84" i="5"/>
  <c r="E30" i="5"/>
  <c r="E12" i="5"/>
  <c r="E83" i="5"/>
  <c r="E61" i="5"/>
  <c r="E25" i="5"/>
  <c r="E77" i="5"/>
  <c r="E6" i="5"/>
  <c r="E45" i="5"/>
  <c r="E101" i="5"/>
  <c r="E8" i="5"/>
  <c r="E76" i="5"/>
  <c r="E5" i="5"/>
  <c r="E11" i="5"/>
  <c r="E32" i="5"/>
  <c r="E53" i="5"/>
  <c r="E94" i="5"/>
  <c r="E55" i="5"/>
  <c r="E24" i="5"/>
  <c r="E62" i="5"/>
  <c r="E98" i="5"/>
  <c r="E68" i="5"/>
  <c r="E78" i="5"/>
  <c r="E46" i="5"/>
  <c r="E82" i="5"/>
  <c r="E9" i="5"/>
  <c r="E97" i="5"/>
  <c r="E16" i="5"/>
  <c r="E15" i="5"/>
  <c r="E40" i="5"/>
  <c r="E87" i="5"/>
  <c r="E51" i="5"/>
  <c r="E47" i="5"/>
  <c r="E2" i="5"/>
  <c r="E56" i="5"/>
  <c r="E86" i="5"/>
  <c r="E88" i="5"/>
  <c r="E18" i="5"/>
  <c r="E99" i="5"/>
  <c r="O46" i="5" l="1"/>
  <c r="P46" i="5" s="1" a="1"/>
  <c r="P46" i="5" s="1"/>
  <c r="K46" i="2" s="1" a="1"/>
  <c r="K46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94" i="5"/>
  <c r="P94" i="5" s="1" a="1"/>
  <c r="P94" i="5" s="1"/>
  <c r="K94" i="2" s="1" a="1"/>
  <c r="K94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95" i="5"/>
  <c r="P95" i="5" s="1" a="1"/>
  <c r="P95" i="5" s="1"/>
  <c r="K95" i="2" s="1" a="1"/>
  <c r="K95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55" i="5"/>
  <c r="P55" i="5" s="1" a="1"/>
  <c r="P55" i="5" s="1"/>
  <c r="K55" i="2" s="1" a="1"/>
  <c r="K55" i="2" s="1"/>
  <c r="O92" i="5"/>
  <c r="P92" i="5" s="1" a="1"/>
  <c r="P92" i="5" s="1"/>
  <c r="K92" i="2" s="1" a="1"/>
  <c r="K92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70" i="5"/>
  <c r="P70" i="5" s="1" a="1"/>
  <c r="P70" i="5" s="1"/>
  <c r="K70" i="2" s="1" a="1"/>
  <c r="K70" i="2" s="1"/>
  <c r="O15" i="5"/>
  <c r="P15" i="5" s="1" a="1"/>
  <c r="P15" i="5" s="1"/>
  <c r="K15" i="2" s="1" a="1"/>
  <c r="K15" i="2" s="1"/>
  <c r="O45" i="5"/>
  <c r="P45" i="5" s="1" a="1"/>
  <c r="P45" i="5" s="1"/>
  <c r="K45" i="2" s="1" a="1"/>
  <c r="K45" i="2" s="1"/>
  <c r="O68" i="5"/>
  <c r="P68" i="5" s="1" a="1"/>
  <c r="P68" i="5" s="1"/>
  <c r="K68" i="2" s="1" a="1"/>
  <c r="K68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7" i="5"/>
  <c r="P47" i="5" s="1" a="1"/>
  <c r="P47" i="5" s="1"/>
  <c r="K47" i="2" s="1" a="1"/>
  <c r="K47" i="2" s="1"/>
  <c r="O62" i="5"/>
  <c r="P62" i="5" s="1" a="1"/>
  <c r="P62" i="5" s="1"/>
  <c r="K62" i="2" s="1" a="1"/>
  <c r="K62" i="2" s="1"/>
  <c r="O75" i="5"/>
  <c r="P75" i="5" s="1" a="1"/>
  <c r="P75" i="5" s="1"/>
  <c r="K75" i="2" s="1" a="1"/>
  <c r="K75" i="2" s="1"/>
  <c r="O54" i="5"/>
  <c r="P54" i="5" s="1" a="1"/>
  <c r="P54" i="5" s="1"/>
  <c r="K54" i="2" s="1" a="1"/>
  <c r="K54" i="2" s="1"/>
  <c r="O5" i="5"/>
  <c r="P5" i="5" s="1" a="1"/>
  <c r="P5" i="5" s="1"/>
  <c r="K5" i="2" s="1" a="1"/>
  <c r="K5" i="2" s="1"/>
  <c r="O16" i="5"/>
  <c r="P16" i="5" s="1" a="1"/>
  <c r="P16" i="5" s="1"/>
  <c r="K16" i="2" s="1" a="1"/>
  <c r="K16" i="2" s="1"/>
  <c r="O29" i="5"/>
  <c r="P29" i="5" s="1" a="1"/>
  <c r="P29" i="5" s="1"/>
  <c r="K29" i="2" s="1" a="1"/>
  <c r="K29" i="2" s="1"/>
  <c r="O88" i="5"/>
  <c r="P88" i="5" s="1" a="1"/>
  <c r="P88" i="5" s="1"/>
  <c r="K88" i="2" s="1" a="1"/>
  <c r="K88" i="2" s="1"/>
  <c r="O6" i="5"/>
  <c r="P6" i="5" s="1" a="1"/>
  <c r="P6" i="5" s="1"/>
  <c r="K6" i="2" s="1" a="1"/>
  <c r="K6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81" i="5"/>
  <c r="P81" i="5" s="1" a="1"/>
  <c r="P81" i="5" s="1"/>
  <c r="K81" i="2" s="1" a="1"/>
  <c r="K81" i="2" s="1"/>
  <c r="O76" i="5"/>
  <c r="P76" i="5" s="1" a="1"/>
  <c r="P76" i="5" s="1"/>
  <c r="K76" i="2" s="1" a="1"/>
  <c r="K76" i="2" s="1"/>
  <c r="E23" i="5"/>
  <c r="E69" i="5"/>
  <c r="E71" i="5"/>
  <c r="E91" i="5"/>
  <c r="E100" i="5"/>
  <c r="E48" i="5"/>
  <c r="E49" i="5"/>
  <c r="E3" i="5"/>
  <c r="E93" i="5"/>
  <c r="E52" i="5"/>
  <c r="E80" i="5"/>
  <c r="E58" i="5"/>
  <c r="E26" i="5"/>
  <c r="E89" i="5"/>
  <c r="E7" i="5"/>
  <c r="E60" i="5"/>
  <c r="E35" i="5"/>
  <c r="E34" i="5"/>
  <c r="E10" i="5"/>
  <c r="E31" i="5"/>
  <c r="E14" i="5"/>
  <c r="E22" i="5"/>
  <c r="E72" i="5"/>
  <c r="E96" i="5"/>
  <c r="E33" i="5"/>
  <c r="E65" i="5"/>
  <c r="E79" i="5"/>
  <c r="E50" i="5"/>
  <c r="E21" i="5"/>
  <c r="E44" i="5"/>
  <c r="E67" i="5"/>
  <c r="E28" i="5"/>
  <c r="E73" i="5"/>
  <c r="E59" i="5"/>
  <c r="E74" i="5"/>
  <c r="E39" i="5"/>
  <c r="E36" i="5"/>
  <c r="E57" i="5"/>
  <c r="E42" i="5"/>
  <c r="E20" i="5"/>
  <c r="E90" i="5"/>
  <c r="E13" i="5"/>
  <c r="E63" i="5"/>
  <c r="E41" i="5"/>
  <c r="E19" i="5"/>
  <c r="E27" i="5"/>
  <c r="O74" i="5" l="1"/>
  <c r="P74" i="5" s="1" a="1"/>
  <c r="P74" i="5" s="1"/>
  <c r="K74" i="2" s="1" a="1"/>
  <c r="K74" i="2" s="1"/>
  <c r="O93" i="5"/>
  <c r="P93" i="5" s="1" a="1"/>
  <c r="P93" i="5" s="1"/>
  <c r="K93" i="2" s="1" a="1"/>
  <c r="K93" i="2" s="1"/>
  <c r="O49" i="5"/>
  <c r="P49" i="5" s="1" a="1"/>
  <c r="P49" i="5" s="1"/>
  <c r="K49" i="2" s="1" a="1"/>
  <c r="K49" i="2" s="1"/>
  <c r="O69" i="5"/>
  <c r="P69" i="5" s="1" a="1"/>
  <c r="P69" i="5" s="1"/>
  <c r="K69" i="2" s="1" a="1"/>
  <c r="K69" i="2" s="1"/>
  <c r="O52" i="5"/>
  <c r="P52" i="5" s="1" a="1"/>
  <c r="P52" i="5" s="1"/>
  <c r="K52" i="2" s="1" a="1"/>
  <c r="K52" i="2" s="1"/>
  <c r="O14" i="5"/>
  <c r="P14" i="5" s="1" a="1"/>
  <c r="P14" i="5" s="1"/>
  <c r="K14" i="2" s="1" a="1"/>
  <c r="K14" i="2" s="1"/>
  <c r="O59" i="5"/>
  <c r="P59" i="5" s="1" a="1"/>
  <c r="P59" i="5" s="1"/>
  <c r="K59" i="2" s="1" a="1"/>
  <c r="K59" i="2" s="1"/>
  <c r="O39" i="5"/>
  <c r="P39" i="5" s="1" a="1"/>
  <c r="P39" i="5" s="1"/>
  <c r="K39" i="2" s="1" a="1"/>
  <c r="K39" i="2" s="1"/>
  <c r="O36" i="5"/>
  <c r="P36" i="5" s="1" a="1"/>
  <c r="P36" i="5" s="1"/>
  <c r="K36" i="2" s="1" a="1"/>
  <c r="K36" i="2" s="1"/>
  <c r="O23" i="5"/>
  <c r="P23" i="5" s="1" a="1"/>
  <c r="P23" i="5" s="1"/>
  <c r="K23" i="2" s="1" a="1"/>
  <c r="K23" i="2" s="1"/>
  <c r="O91" i="5"/>
  <c r="P91" i="5" s="1" a="1"/>
  <c r="P91" i="5" s="1"/>
  <c r="K91" i="2" s="1" a="1"/>
  <c r="K91" i="2" s="1"/>
  <c r="O41" i="5"/>
  <c r="P41" i="5" s="1" a="1"/>
  <c r="P41" i="5" s="1"/>
  <c r="K41" i="2" s="1" a="1"/>
  <c r="K41" i="2" s="1"/>
  <c r="O67" i="5"/>
  <c r="P67" i="5" s="1" a="1"/>
  <c r="P67" i="5" s="1"/>
  <c r="K67" i="2" s="1" a="1"/>
  <c r="K67" i="2" s="1"/>
  <c r="O31" i="5"/>
  <c r="P31" i="5" s="1" a="1"/>
  <c r="P31" i="5" s="1"/>
  <c r="K31" i="2" s="1" a="1"/>
  <c r="K31" i="2" s="1"/>
  <c r="O48" i="5"/>
  <c r="P48" i="5" s="1" a="1"/>
  <c r="P48" i="5" s="1"/>
  <c r="K48" i="2" s="1" a="1"/>
  <c r="K48" i="2" s="1"/>
  <c r="O100" i="5"/>
  <c r="P100" i="5" s="1" a="1"/>
  <c r="P100" i="5" s="1"/>
  <c r="K100" i="2" s="1" a="1"/>
  <c r="K100" i="2" s="1"/>
  <c r="O22" i="5"/>
  <c r="P22" i="5" s="1" a="1"/>
  <c r="P22" i="5" s="1"/>
  <c r="K22" i="2" s="1" a="1"/>
  <c r="K22" i="2" s="1"/>
  <c r="O19" i="5"/>
  <c r="P19" i="5" s="1" a="1"/>
  <c r="P19" i="5" s="1"/>
  <c r="K19" i="2" s="1" a="1"/>
  <c r="K19" i="2" s="1"/>
  <c r="O42" i="5"/>
  <c r="P42" i="5" s="1" a="1"/>
  <c r="P42" i="5" s="1"/>
  <c r="K42" i="2" s="1" a="1"/>
  <c r="K42" i="2" s="1"/>
  <c r="O10" i="5"/>
  <c r="P10" i="5" s="1" a="1"/>
  <c r="P10" i="5" s="1"/>
  <c r="K10" i="2" s="1" a="1"/>
  <c r="K10" i="2" s="1"/>
  <c r="O90" i="5"/>
  <c r="P90" i="5" s="1" a="1"/>
  <c r="P90" i="5" s="1"/>
  <c r="K90" i="2" s="1" a="1"/>
  <c r="K90" i="2" s="1"/>
  <c r="O50" i="5"/>
  <c r="P50" i="5" s="1" a="1"/>
  <c r="P50" i="5" s="1"/>
  <c r="K50" i="2" s="1" a="1"/>
  <c r="K50" i="2" s="1"/>
  <c r="O71" i="5"/>
  <c r="P71" i="5" s="1" a="1"/>
  <c r="P71" i="5" s="1"/>
  <c r="K71" i="2" s="1" a="1"/>
  <c r="K71" i="2" s="1"/>
  <c r="O63" i="5"/>
  <c r="P63" i="5" s="1" a="1"/>
  <c r="P63" i="5" s="1"/>
  <c r="K63" i="2" s="1" a="1"/>
  <c r="K63" i="2" s="1"/>
  <c r="O72" i="5"/>
  <c r="P72" i="5" s="1" a="1"/>
  <c r="P72" i="5" s="1"/>
  <c r="K72" i="2" s="1" a="1"/>
  <c r="K72" i="2" s="1"/>
  <c r="O57" i="5"/>
  <c r="P57" i="5" s="1" a="1"/>
  <c r="P57" i="5" s="1"/>
  <c r="K57" i="2" s="1" a="1"/>
  <c r="K57" i="2" s="1"/>
  <c r="O96" i="5"/>
  <c r="P96" i="5" s="1" a="1"/>
  <c r="P96" i="5" s="1"/>
  <c r="K96" i="2" s="1" a="1"/>
  <c r="K96" i="2" s="1"/>
  <c r="O60" i="5"/>
  <c r="P60" i="5" s="1" a="1"/>
  <c r="P60" i="5" s="1"/>
  <c r="K60" i="2" s="1" a="1"/>
  <c r="K60" i="2" s="1"/>
  <c r="O26" i="5"/>
  <c r="P26" i="5" s="1" a="1"/>
  <c r="P26" i="5" s="1"/>
  <c r="K26" i="2" s="1" a="1"/>
  <c r="K26" i="2" s="1"/>
  <c r="O28" i="5"/>
  <c r="P28" i="5" s="1" a="1"/>
  <c r="P28" i="5" s="1"/>
  <c r="K28" i="2" s="1" a="1"/>
  <c r="K28" i="2" s="1"/>
  <c r="O34" i="5"/>
  <c r="P34" i="5" s="1" a="1"/>
  <c r="P34" i="5" s="1"/>
  <c r="K34" i="2" s="1" a="1"/>
  <c r="K34" i="2" s="1"/>
  <c r="O3" i="5"/>
  <c r="P3" i="5" s="1" a="1"/>
  <c r="P3" i="5" s="1"/>
  <c r="K3" i="2" s="1" a="1"/>
  <c r="K3" i="2" s="1"/>
  <c r="O13" i="5"/>
  <c r="P13" i="5" s="1" a="1"/>
  <c r="P13" i="5" s="1"/>
  <c r="K13" i="2" s="1" a="1"/>
  <c r="K13" i="2" s="1"/>
  <c r="O20" i="5"/>
  <c r="P20" i="5" s="1" a="1"/>
  <c r="P20" i="5" s="1"/>
  <c r="K20" i="2" s="1" a="1"/>
  <c r="K20" i="2" s="1"/>
  <c r="O27" i="5"/>
  <c r="P27" i="5" s="1" a="1"/>
  <c r="P27" i="5" s="1"/>
  <c r="K27" i="2" s="1" a="1"/>
  <c r="K27" i="2" s="1"/>
  <c r="O79" i="5"/>
  <c r="P79" i="5" s="1" a="1"/>
  <c r="P79" i="5" s="1"/>
  <c r="K79" i="2" s="1" a="1"/>
  <c r="K79" i="2" s="1"/>
  <c r="O35" i="5"/>
  <c r="P35" i="5" s="1" a="1"/>
  <c r="P35" i="5" s="1"/>
  <c r="K35" i="2" s="1" a="1"/>
  <c r="K35" i="2" s="1"/>
  <c r="O21" i="5"/>
  <c r="P21" i="5" s="1" a="1"/>
  <c r="P21" i="5" s="1"/>
  <c r="K21" i="2" s="1" a="1"/>
  <c r="K21" i="2" s="1"/>
  <c r="O33" i="5"/>
  <c r="P33" i="5" s="1" a="1"/>
  <c r="P33" i="5" s="1"/>
  <c r="K33" i="2" s="1" a="1"/>
  <c r="K33" i="2" s="1"/>
  <c r="O58" i="5"/>
  <c r="P58" i="5" s="1" a="1"/>
  <c r="P58" i="5" s="1"/>
  <c r="K58" i="2" s="1" a="1"/>
  <c r="K58" i="2" s="1"/>
  <c r="O7" i="5"/>
  <c r="P7" i="5" s="1" a="1"/>
  <c r="P7" i="5" s="1"/>
  <c r="K7" i="2" s="1" a="1"/>
  <c r="K7" i="2" s="1"/>
  <c r="O65" i="5"/>
  <c r="P65" i="5" s="1" a="1"/>
  <c r="P65" i="5" s="1"/>
  <c r="K65" i="2" s="1" a="1"/>
  <c r="K65" i="2" s="1"/>
  <c r="O89" i="5"/>
  <c r="P89" i="5" s="1" a="1"/>
  <c r="P89" i="5" s="1"/>
  <c r="K89" i="2" s="1" a="1"/>
  <c r="K89" i="2" s="1"/>
  <c r="O80" i="5"/>
  <c r="P80" i="5" s="1" a="1"/>
  <c r="P80" i="5" s="1"/>
  <c r="K80" i="2" s="1" a="1"/>
  <c r="K80" i="2" s="1"/>
  <c r="O44" i="5"/>
  <c r="P44" i="5" s="1" a="1"/>
  <c r="P44" i="5" s="1"/>
  <c r="K44" i="2" s="1" a="1"/>
  <c r="K44" i="2" s="1"/>
  <c r="O73" i="5"/>
  <c r="P73" i="5" s="1" a="1"/>
  <c r="P73" i="5" s="1"/>
  <c r="K73" i="2" s="1" a="1"/>
  <c r="K7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<sst xmlns="http://schemas.openxmlformats.org/spreadsheetml/2006/main" count="363" uniqueCount="266">
  <si>
    <t>^</t>
  </si>
  <si>
    <t>KANBAN</t>
  </si>
  <si>
    <t>COMPLETADO</t>
  </si>
  <si>
    <t>IMPORTANTE</t>
  </si>
  <si>
    <t>RQF-007 — Registrar producto manualmente</t>
  </si>
  <si>
    <t xml:space="preserve">El programa deberá permitir registrar productos manualmente mediante un formulario. Para incorporar al inventario productos que no hayan sido ingresados mediante escaneo.
</t>
  </si>
  <si>
    <t>Klever Jami</t>
  </si>
  <si>
    <t>RQF-008 — Validar datos y SKU.</t>
  </si>
  <si>
    <t>El programa deberá validar los campos obligatorios del formulario y comprobar que el SKU del producto no se encuentre repetido. Para mantener registros completos y evitar la duplicación de productos dentro del inventario.</t>
  </si>
  <si>
    <t>RQF-011 — Consultar inventario.</t>
  </si>
  <si>
    <t xml:space="preserve">El programa deberá mostrar una lista de los productos registrados en el inventario. Para consultar la información y el estado actual de las existencias.
</t>
  </si>
  <si>
    <t>RQF-012 — Buscar y filtrar inventario.</t>
  </si>
  <si>
    <t>El programa deberá permitir buscar, filtrar y ordenar los productos del inventario. Para localizar productos específicos y organizar la información según las necesidades del administrador.</t>
  </si>
  <si>
    <t>RQF-023 — Dar de baja un producto.</t>
  </si>
  <si>
    <t>El programa deberá permitir dar de baja un producto registrado. Para retirar del inventario principal los productos que ya no se encuentren disponibles.</t>
  </si>
  <si>
    <t>Lucas Góngora</t>
  </si>
  <si>
    <t>RQF-013 — Editar información del producto.</t>
  </si>
  <si>
    <t>El programa deberá permitir modificar la información de un producto registrado. Para mantener actualizados los datos disponibles en el inventario.</t>
  </si>
  <si>
    <t>RQF-014 — Cancelar edición del producto</t>
  </si>
  <si>
    <t>El programa deberá permitir cancelar la edición de un producto antes de guardar los cambios. Para conservar la información original cuando el administrador decida abandonar la modificación.</t>
  </si>
  <si>
    <t>RQF-024 —  Confirmar baja del producto</t>
  </si>
  <si>
    <t>El programa deberá permitir eliminar de forma lógica un producto</t>
  </si>
  <si>
    <t>Jordy Viscaino</t>
  </si>
  <si>
    <t>RQF-001 - Validar credenciales de acceso</t>
  </si>
  <si>
    <t xml:space="preserve">El programa deberá permitir al administrador iniciar sesión mediante correo electrónico y contraseña. Para controlar el acceso a las funciones y a la información registrada en PaperBoost.
</t>
  </si>
  <si>
    <t>RQF-009 — Generar nota de venta</t>
  </si>
  <si>
    <t>El programa deberá permitir generar una nota de venta mediante la selección de productos y cantidades. Para registrar las ventas realizadas y calcular automáticamente los valores de la transacción.</t>
  </si>
  <si>
    <t>RQF-010 — Validar stock de la venta</t>
  </si>
  <si>
    <t>El programa deberá verificar el stock disponible antes de confirmar una venta. Para impedir que se registren cantidades superiores a las existencias disponibles.</t>
  </si>
  <si>
    <t>RQF-002 — Almacenamiento de credenciales de usuario</t>
  </si>
  <si>
    <t>El programa debe almacenar las credenciales de los usuarios y utilizarlas para autenticar su identidad durante el inicio de sesión.</t>
  </si>
  <si>
    <t>NORMAL</t>
  </si>
  <si>
    <t>RQF-015 — Configurar stock mínimo</t>
  </si>
  <si>
    <t>El programa deberá permitir configurar una cantidad mínima de existencias para cada producto. Para determinar cuándo un producto debe considerarse próximo a agotarse.</t>
  </si>
  <si>
    <t>RQF-019 — Consultar historial de ventas</t>
  </si>
  <si>
    <t>El programa deberá mostrar el historial de las ventas registradas. Para consultar las transacciones realizadas y dar seguimiento a las operaciones del negocio.</t>
  </si>
  <si>
    <t>RQF-022 — Notificar alertas de stock</t>
  </si>
  <si>
    <t>El programa deberá notificar sobre stock bajo</t>
  </si>
  <si>
    <t>RQF-020 — Buscar y consultar detalle de venta</t>
  </si>
  <si>
    <t>El programa deberá mostrar el detalle de cada venta por separado</t>
  </si>
  <si>
    <t>RQF-021 — Visualizar inventario crítico</t>
  </si>
  <si>
    <t>El programa deberá mostrar de forma diferente productos con bajo stock</t>
  </si>
  <si>
    <t>POR HACER</t>
  </si>
  <si>
    <t>RQF-005 —  Registrar producto por escaneo</t>
  </si>
  <si>
    <t>Implementar una ventana que permita registrar un producto en el inventario mediante el escaneo de su código de barras o QR, capturando automáticamente el código y permitiendo completar los datos restantes.</t>
  </si>
  <si>
    <t>RQF-006 — Confirmar producto escaneado</t>
  </si>
  <si>
    <t>Implementar una pantalla de confirmación que muestre los datos del producto escaneado antes de guardarlo en el inventario, permitiendo al usuario verificar o corregir la información capturada.</t>
  </si>
  <si>
    <t>RQF-003 — Sincronizar datos automáticamente</t>
  </si>
  <si>
    <t>El programa deberá sinronizar los datos en local con los datos en la nube</t>
  </si>
  <si>
    <t>RQF-004 — Sincronización asíncrona con progreso</t>
  </si>
  <si>
    <t>EL programa deberá poder sincronizar la información en base a periodos de tiempo</t>
  </si>
  <si>
    <t>RQF-017 — Recuperar datos desde la nube</t>
  </si>
  <si>
    <t>El programa deberá obtener los datos de la nube de forma periódica</t>
  </si>
  <si>
    <t>RQF-018 — Restaurar datos con progreso y reintentos</t>
  </si>
  <si>
    <t>El programa deberá garantizar atomicidad y reintento en una transacción</t>
  </si>
  <si>
    <t>RQF-016  —  Administrar alertas de stock</t>
  </si>
  <si>
    <t>El programa deberá generar, modificar y desactivar alertas de stock para los productos. Para informar cuando las existencias alcancen o queden por debajo de la cantidad mínima configurada.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</si>
  <si>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</si>
  <si>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</si>
  <si>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</si>
  <si>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</si>
  <si>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</si>
  <si>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</si>
  <si>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</si>
  <si>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URGENTE</t>
  </si>
  <si>
    <t>EN PROGRESO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</si>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</sst>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8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242424"/>
      <name val="Aptos Narrow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zoomScaleNormal="100" workbookViewId="0">
      <pane ySplit="4" topLeftCell="A5" activePane="bottomLeft" state="frozen"/>
      <selection pane="bottomLeft" activeCell="D52" sqref="D52:E52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09" t="str">
        <f>Configura!$B$2</f>
        <v xml:space="preserve">                Tablero KANBAN v3 ©️            </v>
      </c>
      <c r="C2" s="109"/>
      <c r="D2" s="10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24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12" t="str" cm="1">
        <f t="array" aca="1" ref="C4" ca="1">IFERROR(INDEX(Configura!$B$9:$B$18,B4)&amp;" ("&amp;SUMIF(misEstados,B4,misFiltros)&amp;" de "&amp;SUM(misFiltros)&amp;")","")</f>
        <v>POR HACER (6 de 24)</v>
      </c>
      <c r="D4" s="112"/>
      <c r="E4" s="112"/>
      <c r="F4" s="9" t="s">
        <v>0</v>
      </c>
      <c r="G4" s="25">
        <f>B4+1</f>
        <v>2</v>
      </c>
      <c r="H4" s="112" t="str" cm="1">
        <f t="array" aca="1" ref="H4" ca="1">IFERROR(INDEX(Configura!$B$9:$B$18,G4)&amp;" ("&amp;SUMIF(misEstados,G4,misFiltros)&amp;" de "&amp;SUM(misFiltros)&amp;")","")</f>
        <v>EN PROGRESO (0 de 24)</v>
      </c>
      <c r="I4" s="112"/>
      <c r="J4" s="112"/>
      <c r="K4" s="9" t="s">
        <v>0</v>
      </c>
      <c r="L4" s="25">
        <f>G4+1</f>
        <v>3</v>
      </c>
      <c r="M4" s="112" t="str" cm="1">
        <f t="array" aca="1" ref="M4" ca="1">IFERROR(INDEX(Configura!$B$9:$B$18,L4)&amp;" ("&amp;SUMIF(misEstados,L4,misFiltros)&amp;" de "&amp;SUM(misFiltros)&amp;")","")</f>
        <v>EN ESPERA (0 de 24)</v>
      </c>
      <c r="N4" s="112"/>
      <c r="O4" s="112"/>
      <c r="P4" s="9" t="s">
        <v>0</v>
      </c>
      <c r="Q4" s="25">
        <f>L4+1</f>
        <v>4</v>
      </c>
      <c r="R4" s="112" t="str" cm="1">
        <f t="array" aca="1" ref="R4" ca="1">IFERROR(INDEX(Configura!$B$9:$B$18,Q4)&amp;" ("&amp;SUMIF(misEstados,Q4,misFiltros)&amp;" de "&amp;SUM(misFiltros)&amp;")","")</f>
        <v>COMPLETADO (18 de 24)</v>
      </c>
      <c r="S4" s="112"/>
      <c r="T4" s="112"/>
      <c r="U4" s="9" t="s">
        <v>0</v>
      </c>
      <c r="V4" s="25">
        <f>Q4+1</f>
        <v>5</v>
      </c>
      <c r="W4" s="112" t="str" cm="1">
        <f t="array" aca="1" ref="W4" ca="1">IFERROR(INDEX(Configura!$B$9:$B$18,V4)&amp;" ("&amp;SUMIF(misEstados,V4,misFiltros)&amp;" de "&amp;SUM(misFiltros)&amp;")","")</f>
        <v>ARCHIVADO (0 de 24)</v>
      </c>
      <c r="X4" s="112"/>
      <c r="Y4" s="112"/>
      <c r="Z4" s="10" t="s">
        <v>0</v>
      </c>
      <c r="AA4" s="25">
        <f>V4+1</f>
        <v>6</v>
      </c>
      <c r="AB4" s="112" t="str" cm="1">
        <f t="array" aca="1" ref="AB4" ca="1">IFERROR(INDEX(Configura!$B$9:$B$18,AA4)&amp;" ("&amp;SUMIF(misEstados,AA4,misFiltros)&amp;" de "&amp;SUM(misFiltros)&amp;")","")</f>
        <v>POR HACER (0 de 24)</v>
      </c>
      <c r="AC4" s="112"/>
      <c r="AD4" s="112"/>
      <c r="AE4" s="10" t="s">
        <v>0</v>
      </c>
      <c r="AF4" s="25">
        <f>AA4+1</f>
        <v>7</v>
      </c>
      <c r="AG4" s="112" t="str" cm="1">
        <f t="array" aca="1" ref="AG4" ca="1">IFERROR(INDEX(Configura!$B$9:$B$18,AF4)&amp;" ("&amp;SUMIF(misEstados,AF4,misFiltros)&amp;" de "&amp;SUM(misFiltros)&amp;")","")</f>
        <v>EN PROGRESO (0 de 24)</v>
      </c>
      <c r="AH4" s="112"/>
      <c r="AI4" s="112"/>
      <c r="AJ4" s="10" t="s">
        <v>0</v>
      </c>
      <c r="AK4" s="25">
        <f>AF4+1</f>
        <v>8</v>
      </c>
      <c r="AL4" s="112" t="str" cm="1">
        <f t="array" aca="1" ref="AL4" ca="1">IFERROR(INDEX(Configura!$B$9:$B$18,AK4)&amp;" ("&amp;SUMIF(misEstados,AK4,misFiltros)&amp;" de "&amp;SUM(misFiltros)&amp;")","")</f>
        <v xml:space="preserve"> (0 de 24)</v>
      </c>
      <c r="AM4" s="112"/>
      <c r="AN4" s="112"/>
      <c r="AO4" s="10" t="s">
        <v>0</v>
      </c>
      <c r="AP4" s="25">
        <f>AK4+1</f>
        <v>9</v>
      </c>
      <c r="AQ4" s="112" t="str" cm="1">
        <f t="array" aca="1" ref="AQ4" ca="1">IFERROR(INDEX(Configura!$B$9:$B$18,AP4)&amp;" ("&amp;SUMIF(misEstados,AP4,misFiltros)&amp;" de "&amp;SUM(misFiltros)&amp;")","")</f>
        <v xml:space="preserve"> (0 de 24)</v>
      </c>
      <c r="AR4" s="112"/>
      <c r="AS4" s="112"/>
      <c r="AT4" s="10" t="s">
        <v>0</v>
      </c>
      <c r="AU4" s="25">
        <f>AP4+1</f>
        <v>10</v>
      </c>
      <c r="AV4" s="112" t="str" cm="1">
        <f t="array" aca="1" ref="AV4" ca="1">IFERROR(INDEX(Configura!$B$9:$B$18,AU4)&amp;" ("&amp;SUMIF(misEstados,AU4,misFiltros)&amp;" de "&amp;SUM(misFiltros)&amp;")","")</f>
        <v xml:space="preserve"> (0 de 24)</v>
      </c>
      <c r="AW4" s="112"/>
      <c r="AX4" s="112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23:</v>
      </c>
      <c r="D6" s="110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RQF-018 — Restaurar datos con progreso y reintentos</v>
      </c>
      <c r="E6" s="110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0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0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0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0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24:</v>
      </c>
      <c r="S6" s="110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RQF-016  —  Administrar alertas de stock</v>
      </c>
      <c r="T6" s="110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0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0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0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0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0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0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0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0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0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0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0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0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0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El programa deberá garantizar atomicidad y reintento en una transacción</v>
      </c>
      <c r="E7" s="110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0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0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0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0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0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El programa deberá generar, modificar y desactivar alertas de stock para los productos. Para informar cuando las existencias alcancen o queden por debajo de la cantidad mínima configurada.</v>
      </c>
      <c r="T7" s="110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0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0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0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0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0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0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0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0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0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0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0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0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0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46224</v>
      </c>
      <c r="E8" s="110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0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0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0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0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0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46210</v>
      </c>
      <c r="T8" s="110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0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0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0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0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0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0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0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0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0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0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0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0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0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46228</v>
      </c>
      <c r="E9" s="110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0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0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0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0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0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46210</v>
      </c>
      <c r="T9" s="110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0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0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0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0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0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0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0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0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0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0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0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0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0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46231</v>
      </c>
      <c r="E10" s="110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0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0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0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0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0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46211</v>
      </c>
      <c r="T10" s="110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0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0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0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0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0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0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0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0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0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0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0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0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0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8 días</v>
      </c>
      <c r="E11" s="110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0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0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0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0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0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2 días</v>
      </c>
      <c r="T11" s="110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0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0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0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0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0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0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0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0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0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0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0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0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0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3 días</v>
      </c>
      <c r="E12" s="110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0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0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0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0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0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1 días</v>
      </c>
      <c r="T12" s="110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0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0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0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0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0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0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0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0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0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0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0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0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0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Jordy Viscaino</v>
      </c>
      <c r="E13" s="110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0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0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0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0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0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Lucas Góngora</v>
      </c>
      <c r="T13" s="110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0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0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0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0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0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0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0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0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0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0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0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0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0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0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0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0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0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0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0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0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0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0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0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0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0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0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0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0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0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0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0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0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22:</v>
      </c>
      <c r="D15" s="110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RQF-017 — Recuperar datos desde la nube</v>
      </c>
      <c r="E15" s="110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0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0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0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0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17:</v>
      </c>
      <c r="S15" s="110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RQF-021 — Visualizar inventario crítico</v>
      </c>
      <c r="T15" s="110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0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0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0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0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0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0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0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0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0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0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0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0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10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El programa deberá obtener los datos de la nube de forma periódica</v>
      </c>
      <c r="E16" s="110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0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0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0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0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0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El programa deberá mostrar de forma diferente productos con bajo stock</v>
      </c>
      <c r="T16" s="110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0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0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0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0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0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0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0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0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0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0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0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0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10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46224</v>
      </c>
      <c r="E17" s="110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0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0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0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0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0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46209</v>
      </c>
      <c r="T17" s="110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0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0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0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0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0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0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0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0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0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0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0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0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10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46228</v>
      </c>
      <c r="E18" s="110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0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0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0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0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0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46210</v>
      </c>
      <c r="T18" s="110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0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0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0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0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0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0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0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0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0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0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0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0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10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46231</v>
      </c>
      <c r="E19" s="110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0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0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0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0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0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46210</v>
      </c>
      <c r="T19" s="110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0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0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0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0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0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0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0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0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0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0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0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0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10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8 días</v>
      </c>
      <c r="E20" s="110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0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0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0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0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0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2 días</v>
      </c>
      <c r="T20" s="110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0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0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0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0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0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0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0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0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0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0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0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0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10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3 días</v>
      </c>
      <c r="E21" s="110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0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0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0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0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0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0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0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0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0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0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0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0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0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0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0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0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0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0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10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Jordy Viscaino</v>
      </c>
      <c r="E22" s="110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0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0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0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0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0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Jordy Viscaino</v>
      </c>
      <c r="T22" s="110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0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0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0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0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0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0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0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0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0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0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0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0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0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0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0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0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0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0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0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0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0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0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0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0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0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0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0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0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0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0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0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0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21:</v>
      </c>
      <c r="D24" s="110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RQF-004 — Sincronización asíncrona con progreso</v>
      </c>
      <c r="E24" s="110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0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0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0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0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16:</v>
      </c>
      <c r="S24" s="110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RQF-020 — Buscar y consultar detalle de venta</v>
      </c>
      <c r="T24" s="110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0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0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0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0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0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0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0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0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0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0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0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0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10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EL programa deberá poder sincronizar la información en base a periodos de tiempo</v>
      </c>
      <c r="E25" s="110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0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0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0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0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0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El programa deberá mostrar el detalle de cada venta por separado</v>
      </c>
      <c r="T25" s="110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0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0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0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0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0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0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0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0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0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0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0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0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10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46224</v>
      </c>
      <c r="E26" s="110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0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0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0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0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0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46212</v>
      </c>
      <c r="T26" s="110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0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0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0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0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0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0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0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0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0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0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0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0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10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46228</v>
      </c>
      <c r="E27" s="110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0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0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0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0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0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46213</v>
      </c>
      <c r="T27" s="110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0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0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0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0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0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0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0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0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0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0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0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0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10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46231</v>
      </c>
      <c r="E28" s="110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0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0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0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0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0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46213</v>
      </c>
      <c r="T28" s="110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0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0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0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0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0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0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0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0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0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0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0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0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10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>8 días</v>
      </c>
      <c r="E29" s="110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0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0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0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0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0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10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0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0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0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0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0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0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0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0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0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0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0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0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10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>3 días</v>
      </c>
      <c r="E30" s="110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0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0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0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0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0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0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0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0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0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0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0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0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0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0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0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0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0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0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10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Klever Jami</v>
      </c>
      <c r="E31" s="110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0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0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0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0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0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Jordy Viscaino</v>
      </c>
      <c r="T31" s="110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0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0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0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0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0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0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0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0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0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0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0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0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0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0" t="e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>#VALUE!</v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0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0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0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0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0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0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0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0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0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0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0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0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0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0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0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0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0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0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>Tarea 20:</v>
      </c>
      <c r="D33" s="110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>RQF-003 — Sincronizar datos automáticamente</v>
      </c>
      <c r="E33" s="110" t="e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>#VALUE!</v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0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0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0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0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15:</v>
      </c>
      <c r="S33" s="110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RQF-022 — Notificar alertas de stock</v>
      </c>
      <c r="T33" s="110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0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0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0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0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0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0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0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0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0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0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0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0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>Descripción:</v>
      </c>
      <c r="D34" s="110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>El programa deberá sinronizar los datos en local con los datos en la nube</v>
      </c>
      <c r="E34" s="110" t="e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>#VALUE!</v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0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0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0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0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0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El programa deberá notificar sobre stock bajo</v>
      </c>
      <c r="T34" s="110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0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0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0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0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0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0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0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0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0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0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0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0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>Inicio:</v>
      </c>
      <c r="D35" s="110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>46224</v>
      </c>
      <c r="E35" s="110" t="e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>#VALUE!</v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0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0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0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0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0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46211</v>
      </c>
      <c r="T35" s="110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0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0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0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0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0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0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0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0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0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0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0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0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>Previsto:</v>
      </c>
      <c r="D36" s="110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>46228</v>
      </c>
      <c r="E36" s="110" t="e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>#VALUE!</v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0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0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0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0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0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46212</v>
      </c>
      <c r="T36" s="110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0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0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0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0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0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0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0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0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0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0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0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0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>Final:</v>
      </c>
      <c r="D37" s="110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>46231</v>
      </c>
      <c r="E37" s="110" t="e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>#VALUE!</v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0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0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0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0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0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46212</v>
      </c>
      <c r="T37" s="110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0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0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0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0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0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0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0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0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0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0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0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0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>Duración:</v>
      </c>
      <c r="D38" s="110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>8 días</v>
      </c>
      <c r="E38" s="110" t="e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>#VALUE!</v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0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0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0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0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0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10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0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0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0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0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0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0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0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0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0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0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0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0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>Retraso:</v>
      </c>
      <c r="D39" s="110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>3 días</v>
      </c>
      <c r="E39" s="110" t="e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>#VALUE!</v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0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0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0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0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0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0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0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0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0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0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0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0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0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0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0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0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0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0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>Asignado:</v>
      </c>
      <c r="D40" s="110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>Lucas Góngora</v>
      </c>
      <c r="E40" s="110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0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0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0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0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0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Jordy Viscaino</v>
      </c>
      <c r="T40" s="110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0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0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0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0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0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0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0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0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0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0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0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0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0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0" t="e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>#VALUE!</v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0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0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0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0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0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0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0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0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0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0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0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0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0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0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0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0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0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0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>Tarea 19:</v>
      </c>
      <c r="D42" s="110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>RQF-006 — Confirmar producto escaneado</v>
      </c>
      <c r="E42" s="110" t="e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>#VALUE!</v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0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0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0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0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14:</v>
      </c>
      <c r="S42" s="110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RQF-019 — Consultar historial de ventas</v>
      </c>
      <c r="T42" s="110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0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0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0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0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0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0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0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0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0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0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0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0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>Descripción:</v>
      </c>
      <c r="D43" s="110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>Implementar una pantalla de confirmación que muestre los datos del producto escaneado antes de guardarlo en el inventario, permitiendo al usuario verificar o corregir la información capturada.</v>
      </c>
      <c r="E43" s="110" t="e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>#VALUE!</v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0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0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0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0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0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El programa deberá mostrar el historial de las ventas registradas. Para consultar las transacciones realizadas y dar seguimiento a las operaciones del negocio.</v>
      </c>
      <c r="T43" s="110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0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0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0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0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0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0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0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0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0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0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0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0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>Inicio:</v>
      </c>
      <c r="D44" s="110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>46220</v>
      </c>
      <c r="E44" s="110" t="e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>#VALUE!</v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0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0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0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0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0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46211</v>
      </c>
      <c r="T44" s="110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0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0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0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0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0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0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0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0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0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0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0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0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>Previsto:</v>
      </c>
      <c r="D45" s="110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>46222</v>
      </c>
      <c r="E45" s="110" t="e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>#VALUE!</v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0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0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0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0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0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46212</v>
      </c>
      <c r="T45" s="110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0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0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0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0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0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0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0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0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0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0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0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0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>Final:</v>
      </c>
      <c r="D46" s="110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>46223</v>
      </c>
      <c r="E46" s="110" t="e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>#VALUE!</v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0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0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0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0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0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46212</v>
      </c>
      <c r="T46" s="110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0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0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0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0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0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0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0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0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0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0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0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0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>Duración:</v>
      </c>
      <c r="D47" s="110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>4 días</v>
      </c>
      <c r="E47" s="110" t="e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>#VALUE!</v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0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0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0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0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0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0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0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0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0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0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0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0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0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0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0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0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0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0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>Retraso:</v>
      </c>
      <c r="D48" s="110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>1 días</v>
      </c>
      <c r="E48" s="110" t="e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>#VALUE!</v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0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0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0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0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0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0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0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0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0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0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0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0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0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0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0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0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0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0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>Asignado:</v>
      </c>
      <c r="D49" s="110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>Jordy Viscaino</v>
      </c>
      <c r="E49" s="110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0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0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0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0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0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Jordy Viscaino</v>
      </c>
      <c r="T49" s="110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0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0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0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0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0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0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0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0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0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0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0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0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0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0" t="e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>#VALUE!</v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0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0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0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0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0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0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0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0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0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0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0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0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0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0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0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0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0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0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>Tarea 18:</v>
      </c>
      <c r="D51" s="110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>RQF-005 —  Registrar producto por escaneo</v>
      </c>
      <c r="E51" s="110" t="e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>#VALUE!</v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0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0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0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0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13:</v>
      </c>
      <c r="S51" s="110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RQF-015 — Configurar stock mínimo</v>
      </c>
      <c r="T51" s="110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0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0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0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0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0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0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0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0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0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0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0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0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>Descripción:</v>
      </c>
      <c r="D52" s="110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>Implementar una ventana que permita registrar un producto en el inventario mediante el escaneo de su código de barras o QR, capturando automáticamente el código y permitiendo completar los datos restantes.</v>
      </c>
      <c r="E52" s="110" t="e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>#VALUE!</v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0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0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0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0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0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El programa deberá permitir configurar una cantidad mínima de existencias para cada producto. Para determinar cuándo un producto debe considerarse próximo a agotarse.</v>
      </c>
      <c r="T52" s="110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0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0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0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0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0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0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0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0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0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0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0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0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>Inicio:</v>
      </c>
      <c r="D53" s="110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>46220</v>
      </c>
      <c r="E53" s="110" t="e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>#VALUE!</v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0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0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0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0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0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46209</v>
      </c>
      <c r="T53" s="110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0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0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0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0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0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0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0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0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0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0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0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0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>Previsto:</v>
      </c>
      <c r="D54" s="110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>46222</v>
      </c>
      <c r="E54" s="110" t="e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>#VALUE!</v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0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0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0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0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0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46210</v>
      </c>
      <c r="T54" s="110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0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0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0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0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0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0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0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0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0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0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0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0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>Final:</v>
      </c>
      <c r="D55" s="110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>46223</v>
      </c>
      <c r="E55" s="110" t="e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>#VALUE!</v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0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0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0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0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0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46210</v>
      </c>
      <c r="T55" s="110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0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0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0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0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0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0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0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0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0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0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0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0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>Duración:</v>
      </c>
      <c r="D56" s="110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>4 días</v>
      </c>
      <c r="E56" s="110" t="e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>#VALUE!</v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0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0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0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0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0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110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0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0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0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0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0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0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0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0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0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0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0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0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>Retraso:</v>
      </c>
      <c r="D57" s="110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>1 días</v>
      </c>
      <c r="E57" s="110" t="e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>#VALUE!</v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0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0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0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0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0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0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0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0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0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0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0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0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0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0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0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0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0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0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>Asignado:</v>
      </c>
      <c r="D58" s="110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>Klever Jami</v>
      </c>
      <c r="E58" s="110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0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0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0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0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0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Lucas Góngora</v>
      </c>
      <c r="T58" s="110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0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0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0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0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0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0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0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0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0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0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0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0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0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0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0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0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0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0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0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0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0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0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0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0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0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0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0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0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0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0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0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0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0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0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0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0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0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0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12:</v>
      </c>
      <c r="S60" s="110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RQF-002 — Almacenamiento de credenciales de usuario</v>
      </c>
      <c r="T60" s="110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0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0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0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0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0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0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0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0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0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0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0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0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0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0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0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0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0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0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0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El programa debe almacenar las credenciales de los usuarios y utilizarlas para autenticar su identidad durante el inicio de sesión.</v>
      </c>
      <c r="T61" s="110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0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0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0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0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0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0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0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0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0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0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0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0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0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0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0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0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0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0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0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46204</v>
      </c>
      <c r="T62" s="110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0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0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0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0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0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0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0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0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0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0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0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0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0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0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0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0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0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0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0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46208</v>
      </c>
      <c r="T63" s="110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0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0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0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0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0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0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0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0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0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0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0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0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0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0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0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0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0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0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0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46208</v>
      </c>
      <c r="T64" s="110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0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0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0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0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0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0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0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0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0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0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0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0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0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0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0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0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0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0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0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5 días</v>
      </c>
      <c r="T65" s="110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0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0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0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0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0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0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0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0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0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0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0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0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0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0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0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0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0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0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0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0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0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0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0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0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0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0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0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0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0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0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0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0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0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0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0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0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0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0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0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Jordy Viscaino</v>
      </c>
      <c r="T67" s="110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0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0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0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0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0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0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0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0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0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0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0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0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0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0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0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0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0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0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0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0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0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0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0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0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0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0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0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0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0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0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0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0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0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0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0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0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0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0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11:</v>
      </c>
      <c r="S69" s="110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RQF-010 — Validar stock de la venta</v>
      </c>
      <c r="T69" s="110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0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0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0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0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0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0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0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0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0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0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0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0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0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0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0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0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0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0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0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El programa deberá verificar el stock disponible antes de confirmar una venta. Para impedir que se registren cantidades superiores a las existencias disponibles.</v>
      </c>
      <c r="T70" s="110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0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0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0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0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0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0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0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0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0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0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0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0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0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0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0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0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0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0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0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46204</v>
      </c>
      <c r="T71" s="110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0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0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0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0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0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0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0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0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0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0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0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0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0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0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0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0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0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0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0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46208</v>
      </c>
      <c r="T72" s="110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0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0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0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0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0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0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0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0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0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0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0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0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0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0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0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0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0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0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0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46208</v>
      </c>
      <c r="T73" s="110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0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0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0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0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0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0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0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0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0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0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0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0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0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0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0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0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0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0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0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5 días</v>
      </c>
      <c r="T74" s="110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0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0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0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0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0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0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0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0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0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0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0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0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0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0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0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0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0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0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0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0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0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0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0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0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0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0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0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0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0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0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0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0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0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0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0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0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0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0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0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Jordy Viscaino</v>
      </c>
      <c r="T76" s="110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0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0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0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0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0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0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0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0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0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0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0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0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0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0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0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0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0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0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0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0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0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0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0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0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0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0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0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0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0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0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0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0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0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0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0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0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0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0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10:</v>
      </c>
      <c r="S78" s="110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RQF-009 — Generar nota de venta</v>
      </c>
      <c r="T78" s="110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0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0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0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0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0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0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0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0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0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0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0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0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0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0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0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0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0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0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0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El programa deberá permitir generar una nota de venta mediante la selección de productos y cantidades. Para registrar las ventas realizadas y calcular automáticamente los valores de la transacción.</v>
      </c>
      <c r="T79" s="110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0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0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0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0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0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0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0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0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0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0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0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0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0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0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0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0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0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0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0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46204</v>
      </c>
      <c r="T80" s="110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0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0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0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0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0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0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0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0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0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0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0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0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0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0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0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0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0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0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0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46208</v>
      </c>
      <c r="T81" s="110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0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0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0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0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0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0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0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0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0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0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0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0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0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0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0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0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0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0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0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46208</v>
      </c>
      <c r="T82" s="110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0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0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0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0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0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0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0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0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0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0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0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0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0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0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0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0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0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0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0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5 días</v>
      </c>
      <c r="T83" s="110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0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0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0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0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0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0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0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0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0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0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0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0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0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0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0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0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0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0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0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0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0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0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0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0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0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0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0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0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0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0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0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0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0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0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0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0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0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0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0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Jordy Viscaino</v>
      </c>
      <c r="T85" s="110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0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0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0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0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0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0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0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0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0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0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0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0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0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0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0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0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0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0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0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0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0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0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0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0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0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0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0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0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0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0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0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0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0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0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0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0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0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0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9:</v>
      </c>
      <c r="S87" s="110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RQF-001 - Validar credenciales de acceso</v>
      </c>
      <c r="T87" s="110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0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0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0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0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0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0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0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0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0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0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0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0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0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0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0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0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0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0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0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 xml:space="preserve">El programa deberá permitir al administrador iniciar sesión mediante correo electrónico y contraseña. Para controlar el acceso a las funciones y a la información registrada en PaperBoost.
</v>
      </c>
      <c r="T88" s="110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0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0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0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0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0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0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0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0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0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0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0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0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0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0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0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0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0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0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0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46204</v>
      </c>
      <c r="T89" s="110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0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0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0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0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0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0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0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0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0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0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0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0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0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0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0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0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0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0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0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46208</v>
      </c>
      <c r="T90" s="110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0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0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0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0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0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0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0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0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0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0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0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0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0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0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0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0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0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0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0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46208</v>
      </c>
      <c r="T91" s="110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0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0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0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0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0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0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0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0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0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0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0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0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0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0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0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0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0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0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0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5 días</v>
      </c>
      <c r="T92" s="110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0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0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0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0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0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0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0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0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0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0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0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0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0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0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0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0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0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0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0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0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0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0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0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0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0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0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0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0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0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0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0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0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0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0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0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0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0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0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0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Jordy Viscaino</v>
      </c>
      <c r="T94" s="110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0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0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0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0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0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0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0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0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0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0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0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0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0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0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0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0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0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0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0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0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0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0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0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0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0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0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0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0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0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0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0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0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0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0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0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0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0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0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8:</v>
      </c>
      <c r="S96" s="110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RQF-024 —  Confirmar baja del producto</v>
      </c>
      <c r="T96" s="110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0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0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0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0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0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0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0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0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0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0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0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0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0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0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0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0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0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0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0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El programa deberá permitir eliminar de forma lógica un producto</v>
      </c>
      <c r="T97" s="110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0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0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0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0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0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0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0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0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0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0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0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0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0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0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0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0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0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0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0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46196</v>
      </c>
      <c r="T98" s="110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0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0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0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0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0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0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0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0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0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0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0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0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0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0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0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0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0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0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0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46196</v>
      </c>
      <c r="T99" s="110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0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0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0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0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0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0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0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0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0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0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0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0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0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0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0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0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0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0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0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46197</v>
      </c>
      <c r="T100" s="110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0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0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0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0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0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0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0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0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0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0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0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0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0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0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0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0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0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0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0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2 días</v>
      </c>
      <c r="T101" s="110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0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0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0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0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0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0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0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0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0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0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0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0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0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0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0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0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0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0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0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1 días</v>
      </c>
      <c r="T102" s="110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0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0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0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0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0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0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0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0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0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0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0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0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0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0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0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0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0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0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0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Jordy Viscaino</v>
      </c>
      <c r="T103" s="110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0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0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0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0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0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0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0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0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0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0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0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0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0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0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0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0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0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0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0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0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0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0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0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0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0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0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0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0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0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0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0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0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0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0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0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0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0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0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7:</v>
      </c>
      <c r="S105" s="110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RQF-014 — Cancelar edición del producto</v>
      </c>
      <c r="T105" s="110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0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0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0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0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0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0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0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0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0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0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0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0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0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0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0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0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0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0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0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El programa deberá permitir cancelar la edición de un producto antes de guardar los cambios. Para conservar la información original cuando el administrador decida abandonar la modificación.</v>
      </c>
      <c r="T106" s="110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0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0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0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0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0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0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0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0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0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0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0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0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0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0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0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0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0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0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0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46191</v>
      </c>
      <c r="T107" s="110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0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0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0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0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0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0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0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0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0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0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0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0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0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0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0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0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0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0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0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46191</v>
      </c>
      <c r="T108" s="110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0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0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0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0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0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0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0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0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0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0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0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0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0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0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0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0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0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0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0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46191</v>
      </c>
      <c r="T109" s="110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0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0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0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0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0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0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0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0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0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0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0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0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0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0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0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0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0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0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0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0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0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0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0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0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0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0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0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0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0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0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0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0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0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0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0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0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0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0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0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0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0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0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0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0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0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0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0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0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0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0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0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0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0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0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0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0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0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0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0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Klever Jami</v>
      </c>
      <c r="T112" s="110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0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0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0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0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0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0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0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0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0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0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0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0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0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0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0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0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0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0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0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0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0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0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0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0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0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0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0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0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0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0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0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0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0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0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0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0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0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0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6:</v>
      </c>
      <c r="S114" s="110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RQF-013 — Editar información del producto.</v>
      </c>
      <c r="T114" s="110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0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0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0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0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0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0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0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0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0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0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0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0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0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0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0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0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0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0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0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El programa deberá permitir modificar la información de un producto registrado. Para mantener actualizados los datos disponibles en el inventario.</v>
      </c>
      <c r="T115" s="110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0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0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0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0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0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0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0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0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0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0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0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0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0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0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0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0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0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0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0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46191</v>
      </c>
      <c r="T116" s="110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0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0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0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0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0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0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0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0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0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0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0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0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0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0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0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0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0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0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0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46192</v>
      </c>
      <c r="T117" s="110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0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0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0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0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0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0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0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0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0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0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0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0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0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0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0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0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0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0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0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46193</v>
      </c>
      <c r="T118" s="110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0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0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0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0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0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0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0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0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0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0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0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0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0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0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0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0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0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0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0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3 días</v>
      </c>
      <c r="T119" s="110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0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0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0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0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0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0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0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0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0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0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0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0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0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0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0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0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0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0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0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1 días</v>
      </c>
      <c r="T120" s="110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0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0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0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0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0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0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0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0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0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0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0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0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0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0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0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0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0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0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0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Klever Jami</v>
      </c>
      <c r="T121" s="110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0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0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0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0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0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0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0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0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0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0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0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0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0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0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0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0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0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0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0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0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0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0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0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0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0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0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0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0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0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0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0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0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0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0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0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0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0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0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5:</v>
      </c>
      <c r="S123" s="110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RQF-023 — Dar de baja un producto.</v>
      </c>
      <c r="T123" s="110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0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0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0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0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0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0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0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0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0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0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0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0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0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0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0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0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0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0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0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El programa deberá permitir dar de baja un producto registrado. Para retirar del inventario principal los productos que ya no se encuentren disponibles.</v>
      </c>
      <c r="T124" s="110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0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0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0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0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0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0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0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0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0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0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0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0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0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0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0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0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0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0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0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46189</v>
      </c>
      <c r="T125" s="110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0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0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0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0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0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0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0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0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0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0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0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0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0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0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0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0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0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0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0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46190</v>
      </c>
      <c r="T126" s="110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0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0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0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0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0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0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0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0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0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0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0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0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0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0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0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0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0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0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0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46191</v>
      </c>
      <c r="T127" s="110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0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0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0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0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0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0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0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0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0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0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0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0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0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0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0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0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0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0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0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3 días</v>
      </c>
      <c r="T128" s="110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0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0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0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0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0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0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0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0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0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0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0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0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0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0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0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0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0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0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0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1 días</v>
      </c>
      <c r="T129" s="110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0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0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0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0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0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0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0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0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0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0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0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0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0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0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0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0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0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0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0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Lucas Góngora</v>
      </c>
      <c r="T130" s="110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0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0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0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0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0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0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0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0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0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0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0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0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0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0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0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0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0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0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0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0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0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0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0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0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0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0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0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0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0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0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0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0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0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0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0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0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0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0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4:</v>
      </c>
      <c r="S132" s="110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RQF-012 — Buscar y filtrar inventario.</v>
      </c>
      <c r="T132" s="110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0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0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0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0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0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0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0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0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0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0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0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0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0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0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0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0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0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0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0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El programa deberá permitir buscar, filtrar y ordenar los productos del inventario. Para localizar productos específicos y organizar la información según las necesidades del administrador.</v>
      </c>
      <c r="T133" s="110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0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0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0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0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0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0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0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0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0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0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0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0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0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0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0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0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0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0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0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46189</v>
      </c>
      <c r="T134" s="110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0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0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0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0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0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0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0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0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0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0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0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0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0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0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0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0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0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0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0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46189</v>
      </c>
      <c r="T135" s="110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0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0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0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0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0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0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0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0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0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0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0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0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0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0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0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0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0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0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0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46189</v>
      </c>
      <c r="T136" s="110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0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0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0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0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0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0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0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0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0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0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0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0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0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0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0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0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0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0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0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10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0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0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0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0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0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0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0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0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0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0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0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0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0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0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0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0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0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0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0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0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0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0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0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0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0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0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0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0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0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0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0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0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0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0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0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0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0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0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0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Klever Jami</v>
      </c>
      <c r="T139" s="110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0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0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0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0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0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0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0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0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0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0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0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0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0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0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0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0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0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0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0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0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0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0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0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0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0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0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0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0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0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0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0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0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0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0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0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0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0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0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3:</v>
      </c>
      <c r="S141" s="110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RQF-011 — Consultar inventario.</v>
      </c>
      <c r="T141" s="110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0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0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0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0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0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0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0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0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0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0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0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0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0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0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0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0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0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0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0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 xml:space="preserve">El programa deberá mostrar una lista de los productos registrados en el inventario. Para consultar la información y el estado actual de las existencias.
</v>
      </c>
      <c r="T142" s="110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0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0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0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0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0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0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0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0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0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0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0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0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0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0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0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0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0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0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0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46183</v>
      </c>
      <c r="T143" s="110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0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0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0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0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0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0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0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0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0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0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0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0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0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0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0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0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0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0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0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46185</v>
      </c>
      <c r="T144" s="110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0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0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0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0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0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0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0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0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0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0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0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0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0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0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0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0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0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0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0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46188</v>
      </c>
      <c r="T145" s="110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0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0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0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0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0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0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0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0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0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0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0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0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0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0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0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0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0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0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0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6 días</v>
      </c>
      <c r="T146" s="110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0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0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0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0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0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0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0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0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0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0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0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0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0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0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0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0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0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0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0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3 días</v>
      </c>
      <c r="T147" s="110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0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0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0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0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0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0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0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0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0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0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0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0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0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0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0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0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0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0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0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Klever Jami</v>
      </c>
      <c r="T148" s="110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0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0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0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0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0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0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0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0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0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0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0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0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0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0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0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0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0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0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0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0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0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0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0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0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0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0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0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0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0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0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0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0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0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0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0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0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0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0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2:</v>
      </c>
      <c r="S150" s="110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RQF-008 — Validar datos y SKU.</v>
      </c>
      <c r="T150" s="110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0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0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0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0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0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0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0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0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0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0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0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0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0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0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0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0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0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0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0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El programa deberá validar los campos obligatorios del formulario y comprobar que el SKU del producto no se encuentre repetido. Para mantener registros completos y evitar la duplicación de productos dentro del inventario.</v>
      </c>
      <c r="T151" s="110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0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0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0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0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0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0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0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0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0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0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0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0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0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0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0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0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0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0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0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46179</v>
      </c>
      <c r="T152" s="110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0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0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0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0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0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0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0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0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0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0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0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0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0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0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0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0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0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0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0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46181</v>
      </c>
      <c r="T153" s="110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0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0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0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0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0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0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0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0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0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0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0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0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0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0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0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0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0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0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0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46183</v>
      </c>
      <c r="T154" s="110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0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0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0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0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0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0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0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0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0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0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0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0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0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0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0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0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0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0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0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5 días</v>
      </c>
      <c r="T155" s="110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0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0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0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0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0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0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0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0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0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0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0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0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0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0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0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0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0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0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0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2 días</v>
      </c>
      <c r="T156" s="110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0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0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0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0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0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0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0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0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0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0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0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0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0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0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0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0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0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0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0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Klever Jami</v>
      </c>
      <c r="T157" s="110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0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0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0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0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0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0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0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0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0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0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0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0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0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0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0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0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0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0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0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0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0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0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0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0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0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0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0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0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0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0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0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0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0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0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0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0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0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0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1:</v>
      </c>
      <c r="S159" s="110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RQF-007 — Registrar producto manualmente</v>
      </c>
      <c r="T159" s="110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0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0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0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0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0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0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0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0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0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0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0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0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0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0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0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0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0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0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0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 xml:space="preserve">El programa deberá permitir registrar productos manualmente mediante un formulario. Para incorporar al inventario productos que no hayan sido ingresados mediante escaneo.
</v>
      </c>
      <c r="T160" s="110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0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0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0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0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0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0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0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0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0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0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0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0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0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0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0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0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0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0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0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46178</v>
      </c>
      <c r="T161" s="110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0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0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0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0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0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0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0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0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0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0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0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0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0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0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0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0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0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0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0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46178</v>
      </c>
      <c r="T162" s="110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0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0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0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0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0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0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0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0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0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0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0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0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0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0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0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0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0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0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0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46179</v>
      </c>
      <c r="T163" s="110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0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0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0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0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0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0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0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0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0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0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0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0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0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0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0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0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0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0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0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110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0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0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0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0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0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0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0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0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0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0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0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0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0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0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0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0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0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0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0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1 días</v>
      </c>
      <c r="T165" s="110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0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0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0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0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0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0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0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0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0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0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0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0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0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0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0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0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0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0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0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Klever Jami</v>
      </c>
      <c r="T166" s="110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0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0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0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0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0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0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0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0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0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0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0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0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0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0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0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0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0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0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0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0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0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0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0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0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0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0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0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0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0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0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0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0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0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0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0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0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0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0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0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0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0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0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0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0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0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0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0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0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0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0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0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0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0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0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0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0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0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0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0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0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0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0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0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0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0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0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0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0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0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0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0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0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0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0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0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0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0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0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0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0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0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0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0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0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0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0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0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0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0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0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0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0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0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0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0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0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0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0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0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0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0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0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0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0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0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0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0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0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0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0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0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0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0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0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0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0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0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0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0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0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0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0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0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0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0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0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0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0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0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0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0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0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0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0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0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0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0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0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0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0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0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0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0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0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0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0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0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0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0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0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0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0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0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0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0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0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0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0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0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0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0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0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0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0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0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0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0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0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0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0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0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0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0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0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0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0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0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0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0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0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0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0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0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0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0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0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0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0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0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0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0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0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0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0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0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0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0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0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0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0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0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0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0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0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0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0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0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0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0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0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0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0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0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0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0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0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0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0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0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0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0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0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0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0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0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0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0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0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0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0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0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0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0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0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0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0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0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0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0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0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0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0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0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0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0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0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0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0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0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0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0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0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0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0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0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0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0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0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0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0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0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0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0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0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0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0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0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0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0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0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0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0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0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0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0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0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0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0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0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0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0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0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0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0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0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0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0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0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0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0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0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0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0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0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0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0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0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0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0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0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0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0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0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0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0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0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0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0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0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0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0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0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0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0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0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0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0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0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0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0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0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0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0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0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0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0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0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0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0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0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0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0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0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0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0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0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0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0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0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0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0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0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0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0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0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0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0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0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0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0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0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0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0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0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0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0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0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0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0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0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0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0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0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0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0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0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0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0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0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0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0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0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0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0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0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0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0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0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0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0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0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0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0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0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0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0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0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0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0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0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0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0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0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0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0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0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0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0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0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0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0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0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0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0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0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0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0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0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0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0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0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0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0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0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0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0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0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0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0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0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0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0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0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0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0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0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0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0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0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0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0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0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0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0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0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0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0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0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0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0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0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0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0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0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0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0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0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0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0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0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0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0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0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0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0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0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0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0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0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0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0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0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0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0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0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0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0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0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0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0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0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0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0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0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0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0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0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0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0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0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0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0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0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0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0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0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0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0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0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0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0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0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0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0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0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0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0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0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0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0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0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0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0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0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0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0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0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0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0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0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0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0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0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0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0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0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0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0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0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0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0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0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0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0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0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0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0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0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0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0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0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0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0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0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0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0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0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0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0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0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0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0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0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0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0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0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0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0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0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0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0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0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0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0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0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0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0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0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0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0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0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0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0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0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0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0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0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0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0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0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0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0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0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0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0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0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0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0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0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0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0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0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0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0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0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0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0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0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0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0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0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0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0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0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0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0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0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0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0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0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0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0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0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0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0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0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0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0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0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0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0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0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0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0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0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0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0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0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0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0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0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0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0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0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0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0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0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0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0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0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0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0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0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0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0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0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0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0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0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0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0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0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0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0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0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0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0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0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0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0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0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0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0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0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0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0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0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0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0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0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0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0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0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0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0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0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0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0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0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0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0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0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0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0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0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0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0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0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0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0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0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0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0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0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0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0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0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0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0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0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0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0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1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1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1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1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1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1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1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1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1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1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1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1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1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1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1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1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1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1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1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1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workbookViewId="0">
      <pane ySplit="1" topLeftCell="A14" activePane="bottomLeft" state="frozen"/>
      <selection pane="bottomLeft" activeCell="D19" sqref="D19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120" x14ac:dyDescent="0.25">
      <c r="A2" s="91" t="s">
        <v>2</v>
      </c>
      <c r="B2" s="92" t="s">
        <v>3</v>
      </c>
      <c r="C2" s="102" t="s">
        <v>4</v>
      </c>
      <c r="D2" s="102" t="s">
        <v>5</v>
      </c>
      <c r="E2" s="103">
        <v>46178</v>
      </c>
      <c r="F2" s="93">
        <v>46178</v>
      </c>
      <c r="G2" s="93">
        <v>46179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1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120" x14ac:dyDescent="0.25">
      <c r="A3" s="94" t="s">
        <v>2</v>
      </c>
      <c r="B3" s="95" t="s">
        <v>3</v>
      </c>
      <c r="C3" s="95" t="s">
        <v>7</v>
      </c>
      <c r="D3" s="104" t="s">
        <v>8</v>
      </c>
      <c r="E3" s="105">
        <v>46179</v>
      </c>
      <c r="F3" s="96">
        <v>46181</v>
      </c>
      <c r="G3" s="96">
        <v>46183</v>
      </c>
      <c r="H3" s="45" t="str">
        <f>IF(Datos!$G3&gt;0,Datos!$G3-Datos!$E3+1 &amp; " " &amp; Idiomas!$A$29,"")</f>
        <v>5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2 días</v>
      </c>
      <c r="J3" s="95" t="s">
        <v>6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90" x14ac:dyDescent="0.25">
      <c r="A4" s="91" t="s">
        <v>2</v>
      </c>
      <c r="B4" s="92" t="s">
        <v>3</v>
      </c>
      <c r="C4" s="92" t="s">
        <v>9</v>
      </c>
      <c r="D4" s="102" t="s">
        <v>10</v>
      </c>
      <c r="E4" s="103">
        <v>46183</v>
      </c>
      <c r="F4" s="93">
        <v>46185</v>
      </c>
      <c r="G4" s="93">
        <v>46188</v>
      </c>
      <c r="H4" s="43" t="str">
        <f>IF(Datos!$G4&gt;0,Datos!$G4-Datos!$E4+1 &amp; " " &amp; Idiomas!$A$29,"")</f>
        <v>6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3 días</v>
      </c>
      <c r="J4" s="92" t="s">
        <v>6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2</v>
      </c>
      <c r="B5" s="95" t="s">
        <v>3</v>
      </c>
      <c r="C5" s="95" t="s">
        <v>11</v>
      </c>
      <c r="D5" s="95" t="s">
        <v>12</v>
      </c>
      <c r="E5" s="96">
        <v>46189</v>
      </c>
      <c r="F5" s="96">
        <v>46189</v>
      </c>
      <c r="G5" s="96">
        <v>46189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6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25">
      <c r="A6" s="91" t="s">
        <v>2</v>
      </c>
      <c r="B6" s="92" t="s">
        <v>3</v>
      </c>
      <c r="C6" s="92" t="s">
        <v>13</v>
      </c>
      <c r="D6" s="92" t="s">
        <v>14</v>
      </c>
      <c r="E6" s="93">
        <v>46189</v>
      </c>
      <c r="F6" s="93">
        <v>46190</v>
      </c>
      <c r="G6" s="93">
        <v>46191</v>
      </c>
      <c r="H6" s="43" t="str">
        <f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1 días</v>
      </c>
      <c r="J6" s="92" t="s">
        <v>15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2</v>
      </c>
      <c r="B7" s="95" t="s">
        <v>3</v>
      </c>
      <c r="C7" s="95" t="s">
        <v>16</v>
      </c>
      <c r="D7" s="95" t="s">
        <v>17</v>
      </c>
      <c r="E7" s="96">
        <v>46191</v>
      </c>
      <c r="F7" s="96">
        <v>46192</v>
      </c>
      <c r="G7" s="96">
        <v>46193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6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2</v>
      </c>
      <c r="B8" s="92" t="s">
        <v>3</v>
      </c>
      <c r="C8" s="92" t="s">
        <v>18</v>
      </c>
      <c r="D8" s="92" t="s">
        <v>19</v>
      </c>
      <c r="E8" s="93">
        <v>46191</v>
      </c>
      <c r="F8" s="93">
        <v>46191</v>
      </c>
      <c r="G8" s="93">
        <v>46191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6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2</v>
      </c>
      <c r="B9" s="95" t="s">
        <v>3</v>
      </c>
      <c r="C9" s="95" t="s">
        <v>20</v>
      </c>
      <c r="D9" s="95" t="s">
        <v>21</v>
      </c>
      <c r="E9" s="96">
        <v>46196</v>
      </c>
      <c r="F9" s="96">
        <v>46196</v>
      </c>
      <c r="G9" s="96">
        <v>46197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1 días</v>
      </c>
      <c r="J9" s="95" t="s">
        <v>22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135" x14ac:dyDescent="0.25">
      <c r="A10" s="91" t="s">
        <v>2</v>
      </c>
      <c r="B10" s="92" t="s">
        <v>3</v>
      </c>
      <c r="C10" s="92" t="s">
        <v>23</v>
      </c>
      <c r="D10" s="102" t="s">
        <v>24</v>
      </c>
      <c r="E10" s="93">
        <v>46204</v>
      </c>
      <c r="F10" s="93">
        <v>46208</v>
      </c>
      <c r="G10" s="93">
        <v>46208</v>
      </c>
      <c r="H10" s="43" t="str">
        <f>IF(Datos!$G10&gt;0,Datos!$G10-Datos!$E10+1 &amp; " " &amp; Idiomas!$A$29,"")</f>
        <v>5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2</v>
      </c>
      <c r="B11" s="95" t="s">
        <v>3</v>
      </c>
      <c r="C11" s="95" t="s">
        <v>25</v>
      </c>
      <c r="D11" s="95" t="s">
        <v>26</v>
      </c>
      <c r="E11" s="97">
        <v>46204</v>
      </c>
      <c r="F11" s="96">
        <v>46208</v>
      </c>
      <c r="G11" s="96">
        <v>46208</v>
      </c>
      <c r="H11" s="45" t="str">
        <f>IF(Datos!$G11&gt;0,Datos!$G11-Datos!$E11+1 &amp; " " &amp; Idiomas!$A$29,"")</f>
        <v>5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25">
      <c r="A12" s="91" t="s">
        <v>2</v>
      </c>
      <c r="B12" s="92" t="s">
        <v>3</v>
      </c>
      <c r="C12" s="92" t="s">
        <v>27</v>
      </c>
      <c r="D12" s="92" t="s">
        <v>28</v>
      </c>
      <c r="E12" s="98">
        <v>46204</v>
      </c>
      <c r="F12" s="93">
        <v>46208</v>
      </c>
      <c r="G12" s="93">
        <v>46208</v>
      </c>
      <c r="H12" s="43" t="str">
        <f>IF(Datos!$G12&gt;0,Datos!$G12-Datos!$E12+1 &amp; " " &amp; Idiomas!$A$29,"")</f>
        <v>5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75" x14ac:dyDescent="0.25">
      <c r="A13" s="94" t="s">
        <v>2</v>
      </c>
      <c r="B13" s="95" t="s">
        <v>3</v>
      </c>
      <c r="C13" s="95" t="s">
        <v>29</v>
      </c>
      <c r="D13" s="104" t="s">
        <v>30</v>
      </c>
      <c r="E13" s="96">
        <v>46204</v>
      </c>
      <c r="F13" s="96">
        <v>46208</v>
      </c>
      <c r="G13" s="96">
        <v>46208</v>
      </c>
      <c r="H13" s="45" t="str">
        <f>IF(Datos!$G13&gt;0,Datos!$G13-Datos!$E13+1 &amp; " " &amp; Idiomas!$A$29,"")</f>
        <v>5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90" x14ac:dyDescent="0.25">
      <c r="A14" s="91" t="s">
        <v>2</v>
      </c>
      <c r="B14" s="92" t="s">
        <v>31</v>
      </c>
      <c r="C14" s="92" t="s">
        <v>32</v>
      </c>
      <c r="D14" s="102" t="s">
        <v>33</v>
      </c>
      <c r="E14" s="93">
        <v>46209</v>
      </c>
      <c r="F14" s="93">
        <v>46210</v>
      </c>
      <c r="G14" s="93">
        <v>46210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15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2</v>
      </c>
      <c r="B15" s="95" t="s">
        <v>31</v>
      </c>
      <c r="C15" s="95" t="s">
        <v>34</v>
      </c>
      <c r="D15" s="95" t="s">
        <v>35</v>
      </c>
      <c r="E15" s="96">
        <v>46211</v>
      </c>
      <c r="F15" s="96">
        <v>46212</v>
      </c>
      <c r="G15" s="96">
        <v>46212</v>
      </c>
      <c r="H15" s="45" t="str">
        <f>IF(Datos!$G15&gt;0,Datos!$G15-Datos!$E15+1 &amp; " " &amp; Idiomas!$A$29,"")</f>
        <v>2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25">
      <c r="A16" s="91" t="s">
        <v>2</v>
      </c>
      <c r="B16" s="92" t="s">
        <v>31</v>
      </c>
      <c r="C16" s="92" t="s">
        <v>36</v>
      </c>
      <c r="D16" s="92" t="s">
        <v>37</v>
      </c>
      <c r="E16" s="93">
        <v>46211</v>
      </c>
      <c r="F16" s="93">
        <v>46212</v>
      </c>
      <c r="G16" s="93">
        <v>46212</v>
      </c>
      <c r="H16" s="43" t="str">
        <f>IF(Datos!$G16&gt;0,Datos!$G16-Datos!$E16+1 &amp; " " &amp; Idiomas!$A$29,"")</f>
        <v>2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22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25">
      <c r="A17" s="94" t="s">
        <v>2</v>
      </c>
      <c r="B17" s="95" t="s">
        <v>31</v>
      </c>
      <c r="C17" s="95" t="s">
        <v>38</v>
      </c>
      <c r="D17" s="95" t="s">
        <v>39</v>
      </c>
      <c r="E17" s="96">
        <v>46212</v>
      </c>
      <c r="F17" s="96">
        <v>46213</v>
      </c>
      <c r="G17" s="96">
        <v>46213</v>
      </c>
      <c r="H17" s="45" t="str">
        <f>IF(Datos!$G17&gt;0,Datos!$G17-Datos!$E17+1 &amp; " " &amp; Idiomas!$A$29,"")</f>
        <v>2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22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5">
      <c r="A18" s="91" t="s">
        <v>2</v>
      </c>
      <c r="B18" s="92" t="s">
        <v>31</v>
      </c>
      <c r="C18" s="92" t="s">
        <v>40</v>
      </c>
      <c r="D18" s="92" t="s">
        <v>41</v>
      </c>
      <c r="E18" s="93">
        <v>46209</v>
      </c>
      <c r="F18" s="93">
        <v>46210</v>
      </c>
      <c r="G18" s="106">
        <v>46210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22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25">
      <c r="A19" s="94" t="s">
        <v>42</v>
      </c>
      <c r="B19" s="95" t="s">
        <v>31</v>
      </c>
      <c r="C19" s="95" t="s">
        <v>43</v>
      </c>
      <c r="D19" s="95" t="s">
        <v>44</v>
      </c>
      <c r="E19" s="96">
        <v>46220</v>
      </c>
      <c r="F19" s="96">
        <v>46222</v>
      </c>
      <c r="G19" s="96">
        <v>46223</v>
      </c>
      <c r="H19" s="45" t="str">
        <f>IF(Datos!$G19&gt;0,Datos!$G19-Datos!$E19+1 &amp; " " &amp; Idiomas!$A$29,"")</f>
        <v>4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1 días</v>
      </c>
      <c r="J19" s="95" t="s">
        <v>6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25">
      <c r="A20" s="91" t="s">
        <v>42</v>
      </c>
      <c r="B20" s="92" t="s">
        <v>31</v>
      </c>
      <c r="C20" s="92" t="s">
        <v>45</v>
      </c>
      <c r="D20" s="92" t="s">
        <v>46</v>
      </c>
      <c r="E20" s="93">
        <v>46220</v>
      </c>
      <c r="F20" s="93">
        <v>46222</v>
      </c>
      <c r="G20" s="93">
        <v>46223</v>
      </c>
      <c r="H20" s="43" t="str">
        <f>IF(Datos!$G20&gt;0,Datos!$G20-Datos!$E20+1 &amp; " " &amp; Idiomas!$A$29,"")</f>
        <v>4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1 días</v>
      </c>
      <c r="J20" s="92" t="s">
        <v>22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25">
      <c r="A21" s="94" t="s">
        <v>42</v>
      </c>
      <c r="B21" s="95" t="s">
        <v>31</v>
      </c>
      <c r="C21" s="95" t="s">
        <v>47</v>
      </c>
      <c r="D21" s="95" t="s">
        <v>48</v>
      </c>
      <c r="E21" s="96">
        <v>46224</v>
      </c>
      <c r="F21" s="96">
        <v>46228</v>
      </c>
      <c r="G21" s="96">
        <v>46231</v>
      </c>
      <c r="H21" s="45" t="str">
        <f>IF(Datos!$G21&gt;0,Datos!$G21-Datos!$E21+1 &amp; " " &amp; Idiomas!$A$29,"")</f>
        <v>8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3 días</v>
      </c>
      <c r="J21" s="95" t="s">
        <v>15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25">
      <c r="A22" s="91" t="s">
        <v>42</v>
      </c>
      <c r="B22" s="92" t="s">
        <v>31</v>
      </c>
      <c r="C22" s="92" t="s">
        <v>49</v>
      </c>
      <c r="D22" s="92" t="s">
        <v>50</v>
      </c>
      <c r="E22" s="93">
        <v>46224</v>
      </c>
      <c r="F22" s="93">
        <v>46228</v>
      </c>
      <c r="G22" s="93">
        <v>46231</v>
      </c>
      <c r="H22" s="43" t="str">
        <f>IF(Datos!$G22&gt;0,Datos!$G22-Datos!$E22+1 &amp; " " &amp; Idiomas!$A$29,"")</f>
        <v>8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3 días</v>
      </c>
      <c r="J22" s="92" t="s">
        <v>6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25">
      <c r="A23" s="94" t="s">
        <v>42</v>
      </c>
      <c r="B23" s="95" t="s">
        <v>31</v>
      </c>
      <c r="C23" s="95" t="s">
        <v>51</v>
      </c>
      <c r="D23" s="95" t="s">
        <v>52</v>
      </c>
      <c r="E23" s="96">
        <v>46224</v>
      </c>
      <c r="F23" s="96">
        <v>46228</v>
      </c>
      <c r="G23" s="96">
        <v>46231</v>
      </c>
      <c r="H23" s="45" t="str">
        <f>IF(Datos!$G23&gt;0,Datos!$G23-Datos!$E23+1 &amp; " " &amp; Idiomas!$A$29,"")</f>
        <v>8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3 días</v>
      </c>
      <c r="J23" s="95" t="s">
        <v>22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25">
      <c r="A24" s="91" t="s">
        <v>42</v>
      </c>
      <c r="B24" s="92" t="s">
        <v>31</v>
      </c>
      <c r="C24" s="92" t="s">
        <v>53</v>
      </c>
      <c r="D24" s="92" t="s">
        <v>54</v>
      </c>
      <c r="E24" s="93">
        <v>46224</v>
      </c>
      <c r="F24" s="106">
        <v>46228</v>
      </c>
      <c r="G24" s="93">
        <v>46231</v>
      </c>
      <c r="H24" s="43" t="str">
        <f>IF(Datos!$G24&gt;0,Datos!$G24-Datos!$E24+1 &amp; " " &amp; Idiomas!$A$29,"")</f>
        <v>8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3 días</v>
      </c>
      <c r="J24" s="92" t="s">
        <v>22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25">
      <c r="A25" s="94" t="s">
        <v>2</v>
      </c>
      <c r="B25" s="95" t="s">
        <v>31</v>
      </c>
      <c r="C25" s="107" t="s">
        <v>55</v>
      </c>
      <c r="D25" s="95" t="s">
        <v>56</v>
      </c>
      <c r="E25" s="96">
        <v>46210</v>
      </c>
      <c r="F25" s="108">
        <v>46210</v>
      </c>
      <c r="G25" s="96">
        <v>46211</v>
      </c>
      <c r="H25" s="45" t="str">
        <f>IF(Datos!$G25&gt;0,Datos!$G25-Datos!$E25+1 &amp; " " &amp; Idiomas!$A$29,"")</f>
        <v>2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1 días</v>
      </c>
      <c r="J25" s="95" t="s">
        <v>15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25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25">
      <c r="A85" s="94"/>
      <c r="B85" s="95"/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G19:G101 G2:G17 E2:E101 F2:F23 F26:F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3" sqref="F13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09" t="str">
        <f>"                " &amp; Idiomas!$A$2 &amp; " v3 ©️            "</f>
        <v xml:space="preserve">                Tablero KANBAN v3 ©️            </v>
      </c>
      <c r="C2" s="109"/>
      <c r="E2" s="7" t="s">
        <v>57</v>
      </c>
      <c r="F2" s="116" t="str">
        <f>Idiomas!$A$2 &amp; " | #ExcelPedroWave"</f>
        <v>Tablero KANBAN | #ExcelPedroWave</v>
      </c>
      <c r="G2" s="116"/>
      <c r="H2" s="116"/>
    </row>
    <row r="3" spans="2:9" ht="15" customHeight="1" x14ac:dyDescent="0.25">
      <c r="E3" s="8" t="s">
        <v>58</v>
      </c>
      <c r="F3" s="116" t="s">
        <v>59</v>
      </c>
      <c r="G3" s="116"/>
      <c r="H3" s="116"/>
    </row>
    <row r="4" spans="2:9" x14ac:dyDescent="0.25">
      <c r="B4" s="89" t="str">
        <f>Idiomas!$A$3</f>
        <v>Idioma</v>
      </c>
      <c r="E4" s="8" t="s">
        <v>60</v>
      </c>
      <c r="F4" s="117" t="s">
        <v>61</v>
      </c>
      <c r="G4" s="117"/>
      <c r="H4" s="117"/>
    </row>
    <row r="5" spans="2:9" ht="15" customHeight="1" x14ac:dyDescent="0.25">
      <c r="B5" s="90" t="s">
        <v>62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63</v>
      </c>
    </row>
    <row r="9" spans="2:9" x14ac:dyDescent="0.25">
      <c r="B9" s="75" t="s">
        <v>42</v>
      </c>
      <c r="D9" s="72" t="s">
        <v>64</v>
      </c>
      <c r="F9" s="68" t="s">
        <v>15</v>
      </c>
      <c r="H9" s="66" t="str">
        <f>Idiomas!$A$12</f>
        <v>Tarea</v>
      </c>
      <c r="I9" s="85">
        <v>1</v>
      </c>
    </row>
    <row r="10" spans="2:9" x14ac:dyDescent="0.25">
      <c r="B10" s="76" t="s">
        <v>65</v>
      </c>
      <c r="D10" s="73" t="s">
        <v>3</v>
      </c>
      <c r="F10" s="69" t="s">
        <v>6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66</v>
      </c>
      <c r="D11" s="74" t="s">
        <v>31</v>
      </c>
      <c r="F11" s="70" t="s">
        <v>22</v>
      </c>
      <c r="H11" s="79" t="str">
        <f>Idiomas!$A$14</f>
        <v>Inicio</v>
      </c>
      <c r="I11" s="86">
        <v>3</v>
      </c>
    </row>
    <row r="12" spans="2:9" x14ac:dyDescent="0.25">
      <c r="B12" s="76" t="s">
        <v>2</v>
      </c>
      <c r="F12" s="69"/>
      <c r="H12" s="67" t="str">
        <f>Idiomas!$A$15</f>
        <v>Previsto</v>
      </c>
      <c r="I12" s="87">
        <v>4</v>
      </c>
    </row>
    <row r="13" spans="2:9" x14ac:dyDescent="0.25">
      <c r="B13" s="77" t="s">
        <v>67</v>
      </c>
      <c r="F13" s="70"/>
      <c r="H13" s="79" t="str">
        <f>Idiomas!$A$16</f>
        <v>Final</v>
      </c>
      <c r="I13" s="86">
        <v>5</v>
      </c>
    </row>
    <row r="14" spans="2:9" x14ac:dyDescent="0.25">
      <c r="B14" s="76" t="s">
        <v>42</v>
      </c>
      <c r="F14" s="69"/>
      <c r="H14" s="67" t="str">
        <f>Idiomas!$A$17</f>
        <v>Duración</v>
      </c>
      <c r="I14" s="87">
        <v>6</v>
      </c>
    </row>
    <row r="15" spans="2:9" x14ac:dyDescent="0.25">
      <c r="B15" s="77" t="s">
        <v>65</v>
      </c>
      <c r="F15" s="70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68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66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3" t="s">
        <v>69</v>
      </c>
      <c r="C23" s="114"/>
      <c r="D23" s="115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70</v>
      </c>
      <c r="F1" s="50" t="s">
        <v>71</v>
      </c>
      <c r="G1" s="50" t="s">
        <v>72</v>
      </c>
      <c r="H1" s="50" t="s">
        <v>73</v>
      </c>
      <c r="I1" s="50" t="s">
        <v>74</v>
      </c>
      <c r="J1" s="50" t="s">
        <v>75</v>
      </c>
      <c r="K1" s="50" t="s">
        <v>76</v>
      </c>
      <c r="L1" s="50" t="s">
        <v>77</v>
      </c>
      <c r="M1" s="50" t="s">
        <v>78</v>
      </c>
      <c r="N1" s="50" t="s">
        <v>79</v>
      </c>
      <c r="O1" s="50" t="str">
        <f>Idiomas!$A$21</f>
        <v>Celda</v>
      </c>
      <c r="P1" s="51" t="s">
        <v>80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R-159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R-159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R159:R166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R-150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R-150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R150:R157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R-141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R-141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R141:R148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R-132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R-132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R132:R139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R-123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R-123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R123:R130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R-114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R-114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R114:R121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R-105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R-105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R105:R112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R-96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R-96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R96:R103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R-87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R-87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R87:R94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R-78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R-78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R78:R85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R-69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R-69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R69:R76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R-60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R-60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R60:R67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R-51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R-51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R51:R58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R-42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R-42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R42:R49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3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R-33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R-33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R33:R40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3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R-24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R-24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R24:R31</v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R-15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R-15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R15:R22</v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1</v>
      </c>
      <c r="C19" s="57">
        <f>IFERROR(MATCH(Datos!$B19,Configura!$D$9:$D$11,0),0)</f>
        <v>3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>C-51</v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C-51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C51:C58</v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1</v>
      </c>
      <c r="C20" s="53">
        <f>IFERROR(MATCH(Datos!$B20,Configura!$D$9:$D$11,0),0)</f>
        <v>3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>C-42</v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C-42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C42:C49</v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1</v>
      </c>
      <c r="C21" s="57">
        <f>IFERROR(MATCH(Datos!$B21,Configura!$D$9:$D$11,0),0)</f>
        <v>3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>C-33</v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C-33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C33:C40</v>
      </c>
    </row>
    <row r="22" spans="1:16" ht="16.5" thickTop="1" thickBot="1" x14ac:dyDescent="0.3">
      <c r="A22" s="52" t="str">
        <f>IFERROR(IF(Datos!$A22="","",Idiomas!$A$12&amp;" "&amp;ROW()-1),"")</f>
        <v>Tarea 21</v>
      </c>
      <c r="B22" s="53">
        <f>IFERROR(MATCH(Datos!$A22,Configura!$B$9:$B$18,0),0)</f>
        <v>1</v>
      </c>
      <c r="C22" s="53">
        <f>IFERROR(MATCH(Datos!$B22,Configura!$D$9:$D$11,0),0)</f>
        <v>3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>C-24</v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C-24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C24:C31</v>
      </c>
    </row>
    <row r="23" spans="1:16" ht="16.5" thickTop="1" thickBot="1" x14ac:dyDescent="0.3">
      <c r="A23" s="56" t="str">
        <f>IFERROR(IF(Datos!$A23="","",Idiomas!$A$12&amp;" "&amp;ROW()-1),"")</f>
        <v>Tarea 22</v>
      </c>
      <c r="B23" s="57">
        <f>IFERROR(MATCH(Datos!$A23,Configura!$B$9:$B$18,0),0)</f>
        <v>1</v>
      </c>
      <c r="C23" s="57">
        <f>IFERROR(MATCH(Datos!$B23,Configura!$D$9:$D$11,0),0)</f>
        <v>3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>C-15</v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C-15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C15:C22</v>
      </c>
    </row>
    <row r="24" spans="1:16" ht="16.5" thickTop="1" thickBot="1" x14ac:dyDescent="0.3">
      <c r="A24" s="52" t="str">
        <f>IFERROR(IF(Datos!$A24="","",Idiomas!$A$12&amp;" "&amp;ROW()-1),"")</f>
        <v>Tarea 23</v>
      </c>
      <c r="B24" s="53">
        <f>IFERROR(MATCH(Datos!$A24,Configura!$B$9:$B$18,0),0)</f>
        <v>1</v>
      </c>
      <c r="C24" s="53">
        <f>IFERROR(MATCH(Datos!$B24,Configura!$D$9:$D$11,0),0)</f>
        <v>3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>C-6</v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C-6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C6:C13</v>
      </c>
    </row>
    <row r="25" spans="1:16" ht="16.5" thickTop="1" thickBot="1" x14ac:dyDescent="0.3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3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R-6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R-6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R6:R13</v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23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3-1</v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24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>
        <f t="shared" ca="1" si="0"/>
        <v>23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3-2</v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24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>
        <f t="shared" ca="1" si="0"/>
        <v>23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3-3</v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24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>
        <f t="shared" ca="1" si="0"/>
        <v>23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3-4</v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24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>
        <f t="shared" ca="1" si="0"/>
        <v>23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3-5</v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24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>
        <f t="shared" ca="1" si="0"/>
        <v>23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3-6</v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24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>
        <f t="shared" ca="1" si="0"/>
        <v>23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3-7</v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24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>
        <f t="shared" ca="1" si="0"/>
        <v>23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3-8</v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24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>
        <f t="shared" ca="1" si="0"/>
        <v>23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24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2</v>
      </c>
      <c r="D12" s="20">
        <f t="shared" ca="1" si="0"/>
        <v>22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3-1</v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17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3-1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2</v>
      </c>
      <c r="D13" s="20">
        <f t="shared" ca="1" si="0"/>
        <v>22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3-2</v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17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3-2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2</v>
      </c>
      <c r="D14" s="20">
        <f t="shared" ca="1" si="0"/>
        <v>22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3-3</v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17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3-3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2</v>
      </c>
      <c r="D15" s="20">
        <f t="shared" ca="1" si="0"/>
        <v>22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3-4</v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17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3-4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2</v>
      </c>
      <c r="D16" s="20">
        <f t="shared" ca="1" si="0"/>
        <v>22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3-5</v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17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3-5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2</v>
      </c>
      <c r="D17" s="20">
        <f t="shared" ca="1" si="0"/>
        <v>22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3-6</v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17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3-6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2</v>
      </c>
      <c r="D18" s="20">
        <f t="shared" ca="1" si="0"/>
        <v>22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3-7</v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17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3-7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>
        <f ca="1"/>
        <v>18</v>
      </c>
      <c r="C19" s="20">
        <f t="shared" ca="1" si="20"/>
        <v>2</v>
      </c>
      <c r="D19" s="20">
        <f t="shared" ca="1" si="0"/>
        <v>22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3-8</v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17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3-8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>
        <f ca="1"/>
        <v>19</v>
      </c>
      <c r="C20" s="20">
        <f t="shared" ca="1" si="20"/>
        <v>2</v>
      </c>
      <c r="D20" s="20">
        <f t="shared" ca="1" si="0"/>
        <v>22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17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>
        <f ca="1"/>
        <v>20</v>
      </c>
      <c r="C21" s="20">
        <f t="shared" ca="1" si="20"/>
        <v>3</v>
      </c>
      <c r="D21" s="20">
        <f t="shared" ca="1" si="0"/>
        <v>21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3-1</v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16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>
        <f ca="1"/>
        <v>21</v>
      </c>
      <c r="C22" s="20">
        <f t="shared" ca="1" si="20"/>
        <v>3</v>
      </c>
      <c r="D22" s="20">
        <f t="shared" ca="1" si="0"/>
        <v>21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3-2</v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16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>
        <f ca="1"/>
        <v>22</v>
      </c>
      <c r="C23" s="20">
        <f t="shared" ca="1" si="20"/>
        <v>3</v>
      </c>
      <c r="D23" s="20">
        <f t="shared" ca="1" si="0"/>
        <v>21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3-3</v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16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>
        <f ca="1"/>
        <v>23</v>
      </c>
      <c r="C24" s="20">
        <f t="shared" ca="1" si="20"/>
        <v>3</v>
      </c>
      <c r="D24" s="20">
        <f t="shared" ca="1" si="0"/>
        <v>21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3-4</v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16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3</v>
      </c>
      <c r="D25" s="20">
        <f t="shared" ca="1" si="0"/>
        <v>21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3-5</v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16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3</v>
      </c>
      <c r="D26" s="20">
        <f t="shared" ca="1" si="0"/>
        <v>21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3-6</v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16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3</v>
      </c>
      <c r="D27" s="20">
        <f t="shared" ca="1" si="0"/>
        <v>21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3-7</v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16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3</v>
      </c>
      <c r="D28" s="20">
        <f t="shared" ca="1" si="0"/>
        <v>21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3-8</v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16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3</v>
      </c>
      <c r="D29" s="20">
        <f t="shared" ca="1" si="0"/>
        <v>21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16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4</v>
      </c>
      <c r="D30" s="20">
        <f t="shared" ca="1" si="0"/>
        <v>20</v>
      </c>
      <c r="E30" s="20" cm="1">
        <f t="array" aca="1" ref="E30" ca="1">IF(D30="","",IF(D30&lt;&gt;D29,1,IF(E29=misLíneas-2,0,E29+1)))</f>
        <v>1</v>
      </c>
      <c r="F30" s="20" t="str" cm="1">
        <f t="array" aca="1" ref="F30" ca="1">IF(OR(E30=0,E30=""),"",INDEX(misCriticidades,D30)&amp;"-"&amp;IFERROR(MATCH(E30,miOrdenTarjeta,0),0))</f>
        <v>3-1</v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15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3-1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4</v>
      </c>
      <c r="D31" s="20">
        <f t="shared" ca="1" si="0"/>
        <v>20</v>
      </c>
      <c r="E31" s="20" cm="1">
        <f t="array" aca="1" ref="E31" ca="1">IF(D31="","",IF(D31&lt;&gt;D30,1,IF(E30=misLíneas-2,0,E30+1)))</f>
        <v>2</v>
      </c>
      <c r="F31" s="20" t="str" cm="1">
        <f t="array" aca="1" ref="F31" ca="1">IF(OR(E31=0,E31=""),"",INDEX(misCriticidades,D31)&amp;"-"&amp;IFERROR(MATCH(E31,miOrdenTarjeta,0),0))</f>
        <v>3-2</v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15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3-2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4</v>
      </c>
      <c r="D32" s="20">
        <f t="shared" ca="1" si="0"/>
        <v>20</v>
      </c>
      <c r="E32" s="20" cm="1">
        <f t="array" aca="1" ref="E32" ca="1">IF(D32="","",IF(D32&lt;&gt;D31,1,IF(E31=misLíneas-2,0,E31+1)))</f>
        <v>3</v>
      </c>
      <c r="F32" s="20" t="str" cm="1">
        <f t="array" aca="1" ref="F32" ca="1">IF(OR(E32=0,E32=""),"",INDEX(misCriticidades,D32)&amp;"-"&amp;IFERROR(MATCH(E32,miOrdenTarjeta,0),0))</f>
        <v>3-3</v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15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3-3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4</v>
      </c>
      <c r="D33" s="20">
        <f t="shared" ca="1" si="0"/>
        <v>20</v>
      </c>
      <c r="E33" s="20" cm="1">
        <f t="array" aca="1" ref="E33" ca="1">IF(D33="","",IF(D33&lt;&gt;D32,1,IF(E32=misLíneas-2,0,E32+1)))</f>
        <v>4</v>
      </c>
      <c r="F33" s="20" t="str" cm="1">
        <f t="array" aca="1" ref="F33" ca="1">IF(OR(E33=0,E33=""),"",INDEX(misCriticidades,D33)&amp;"-"&amp;IFERROR(MATCH(E33,miOrdenTarjeta,0),0))</f>
        <v>3-4</v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15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3-4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4</v>
      </c>
      <c r="D34" s="20">
        <f t="shared" ca="1" si="0"/>
        <v>20</v>
      </c>
      <c r="E34" s="20" cm="1">
        <f t="array" aca="1" ref="E34" ca="1">IF(D34="","",IF(D34&lt;&gt;D33,1,IF(E33=misLíneas-2,0,E33+1)))</f>
        <v>5</v>
      </c>
      <c r="F34" s="20" t="str" cm="1">
        <f t="array" aca="1" ref="F34" ca="1">IF(OR(E34=0,E34=""),"",INDEX(misCriticidades,D34)&amp;"-"&amp;IFERROR(MATCH(E34,miOrdenTarjeta,0),0))</f>
        <v>3-5</v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15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3-5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4</v>
      </c>
      <c r="D35" s="20">
        <f t="shared" ref="D35:D66" ca="1" si="21">IF(C35&gt;C34,IFERROR(IF(F$1="v",SMALL(B$2:B$101,C35),LARGE(B$2:B$101,C35)),""),D34)</f>
        <v>20</v>
      </c>
      <c r="E35" s="20" cm="1">
        <f t="array" aca="1" ref="E35" ca="1">IF(D35="","",IF(D35&lt;&gt;D34,1,IF(E34=misLíneas-2,0,E34+1)))</f>
        <v>6</v>
      </c>
      <c r="F35" s="20" t="str" cm="1">
        <f t="array" aca="1" ref="F35" ca="1">IF(OR(E35=0,E35=""),"",INDEX(misCriticidades,D35)&amp;"-"&amp;IFERROR(MATCH(E35,miOrdenTarjeta,0),0))</f>
        <v>3-6</v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15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3-6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4</v>
      </c>
      <c r="D36" s="20">
        <f t="shared" ca="1" si="21"/>
        <v>20</v>
      </c>
      <c r="E36" s="20" cm="1">
        <f t="array" aca="1" ref="E36" ca="1">IF(D36="","",IF(D36&lt;&gt;D35,1,IF(E35=misLíneas-2,0,E35+1)))</f>
        <v>7</v>
      </c>
      <c r="F36" s="20" t="str" cm="1">
        <f t="array" aca="1" ref="F36" ca="1">IF(OR(E36=0,E36=""),"",INDEX(misCriticidades,D36)&amp;"-"&amp;IFERROR(MATCH(E36,miOrdenTarjeta,0),0))</f>
        <v>3-7</v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15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3-7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4</v>
      </c>
      <c r="D37" s="20">
        <f t="shared" ca="1" si="21"/>
        <v>20</v>
      </c>
      <c r="E37" s="20" cm="1">
        <f t="array" aca="1" ref="E37" ca="1">IF(D37="","",IF(D37&lt;&gt;D36,1,IF(E36=misLíneas-2,0,E36+1)))</f>
        <v>8</v>
      </c>
      <c r="F37" s="20" t="str" cm="1">
        <f t="array" aca="1" ref="F37" ca="1">IF(OR(E37=0,E37=""),"",INDEX(misCriticidades,D37)&amp;"-"&amp;IFERROR(MATCH(E37,miOrdenTarjeta,0),0))</f>
        <v>3-8</v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15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3-8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4</v>
      </c>
      <c r="D38" s="20">
        <f t="shared" ca="1" si="21"/>
        <v>20</v>
      </c>
      <c r="E38" s="20" cm="1">
        <f t="array" aca="1" ref="E38" ca="1">IF(D38="","",IF(D38&lt;&gt;D37,1,IF(E37=misLíneas-2,0,E37+1)))</f>
        <v>0</v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15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5</v>
      </c>
      <c r="D39" s="20">
        <f t="shared" ca="1" si="21"/>
        <v>19</v>
      </c>
      <c r="E39" s="20" cm="1">
        <f t="array" aca="1" ref="E39" ca="1">IF(D39="","",IF(D39&lt;&gt;D38,1,IF(E38=misLíneas-2,0,E38+1)))</f>
        <v>1</v>
      </c>
      <c r="F39" s="20" t="str" cm="1">
        <f t="array" aca="1" ref="F39" ca="1">IF(OR(E39=0,E39=""),"",INDEX(misCriticidades,D39)&amp;"-"&amp;IFERROR(MATCH(E39,miOrdenTarjeta,0),0))</f>
        <v>3-1</v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14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5</v>
      </c>
      <c r="D40" s="20">
        <f t="shared" ca="1" si="21"/>
        <v>19</v>
      </c>
      <c r="E40" s="20" cm="1">
        <f t="array" aca="1" ref="E40" ca="1">IF(D40="","",IF(D40&lt;&gt;D39,1,IF(E39=misLíneas-2,0,E39+1)))</f>
        <v>2</v>
      </c>
      <c r="F40" s="20" t="str" cm="1">
        <f t="array" aca="1" ref="F40" ca="1">IF(OR(E40=0,E40=""),"",INDEX(misCriticidades,D40)&amp;"-"&amp;IFERROR(MATCH(E40,miOrdenTarjeta,0),0))</f>
        <v>3-2</v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14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5</v>
      </c>
      <c r="D41" s="20">
        <f t="shared" ca="1" si="21"/>
        <v>19</v>
      </c>
      <c r="E41" s="20" cm="1">
        <f t="array" aca="1" ref="E41" ca="1">IF(D41="","",IF(D41&lt;&gt;D40,1,IF(E40=misLíneas-2,0,E40+1)))</f>
        <v>3</v>
      </c>
      <c r="F41" s="20" t="str" cm="1">
        <f t="array" aca="1" ref="F41" ca="1">IF(OR(E41=0,E41=""),"",INDEX(misCriticidades,D41)&amp;"-"&amp;IFERROR(MATCH(E41,miOrdenTarjeta,0),0))</f>
        <v>3-3</v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14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5</v>
      </c>
      <c r="D42" s="20">
        <f t="shared" ca="1" si="21"/>
        <v>19</v>
      </c>
      <c r="E42" s="20" cm="1">
        <f t="array" aca="1" ref="E42" ca="1">IF(D42="","",IF(D42&lt;&gt;D41,1,IF(E41=misLíneas-2,0,E41+1)))</f>
        <v>4</v>
      </c>
      <c r="F42" s="20" t="str" cm="1">
        <f t="array" aca="1" ref="F42" ca="1">IF(OR(E42=0,E42=""),"",INDEX(misCriticidades,D42)&amp;"-"&amp;IFERROR(MATCH(E42,miOrdenTarjeta,0),0))</f>
        <v>3-4</v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14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5</v>
      </c>
      <c r="D43" s="20">
        <f t="shared" ca="1" si="21"/>
        <v>19</v>
      </c>
      <c r="E43" s="20" cm="1">
        <f t="array" aca="1" ref="E43" ca="1">IF(D43="","",IF(D43&lt;&gt;D42,1,IF(E42=misLíneas-2,0,E42+1)))</f>
        <v>5</v>
      </c>
      <c r="F43" s="20" t="str" cm="1">
        <f t="array" aca="1" ref="F43" ca="1">IF(OR(E43=0,E43=""),"",INDEX(misCriticidades,D43)&amp;"-"&amp;IFERROR(MATCH(E43,miOrdenTarjeta,0),0))</f>
        <v>3-5</v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14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5</v>
      </c>
      <c r="D44" s="20">
        <f t="shared" ca="1" si="21"/>
        <v>19</v>
      </c>
      <c r="E44" s="20" cm="1">
        <f t="array" aca="1" ref="E44" ca="1">IF(D44="","",IF(D44&lt;&gt;D43,1,IF(E43=misLíneas-2,0,E43+1)))</f>
        <v>6</v>
      </c>
      <c r="F44" s="20" t="str" cm="1">
        <f t="array" aca="1" ref="F44" ca="1">IF(OR(E44=0,E44=""),"",INDEX(misCriticidades,D44)&amp;"-"&amp;IFERROR(MATCH(E44,miOrdenTarjeta,0),0))</f>
        <v>3-6</v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14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5</v>
      </c>
      <c r="D45" s="20">
        <f t="shared" ca="1" si="21"/>
        <v>19</v>
      </c>
      <c r="E45" s="20" cm="1">
        <f t="array" aca="1" ref="E45" ca="1">IF(D45="","",IF(D45&lt;&gt;D44,1,IF(E44=misLíneas-2,0,E44+1)))</f>
        <v>7</v>
      </c>
      <c r="F45" s="20" t="str" cm="1">
        <f t="array" aca="1" ref="F45" ca="1">IF(OR(E45=0,E45=""),"",INDEX(misCriticidades,D45)&amp;"-"&amp;IFERROR(MATCH(E45,miOrdenTarjeta,0),0))</f>
        <v>3-7</v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14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5</v>
      </c>
      <c r="D46" s="20">
        <f t="shared" ca="1" si="21"/>
        <v>19</v>
      </c>
      <c r="E46" s="20" cm="1">
        <f t="array" aca="1" ref="E46" ca="1">IF(D46="","",IF(D46&lt;&gt;D45,1,IF(E45=misLíneas-2,0,E45+1)))</f>
        <v>8</v>
      </c>
      <c r="F46" s="20" t="str" cm="1">
        <f t="array" aca="1" ref="F46" ca="1">IF(OR(E46=0,E46=""),"",INDEX(misCriticidades,D46)&amp;"-"&amp;IFERROR(MATCH(E46,miOrdenTarjeta,0),0))</f>
        <v>3-8</v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14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5</v>
      </c>
      <c r="D47" s="20">
        <f t="shared" ca="1" si="21"/>
        <v>19</v>
      </c>
      <c r="E47" s="20" cm="1">
        <f t="array" aca="1" ref="E47" ca="1">IF(D47="","",IF(D47&lt;&gt;D46,1,IF(E46=misLíneas-2,0,E46+1)))</f>
        <v>0</v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14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6</v>
      </c>
      <c r="D48" s="20">
        <f t="shared" ca="1" si="21"/>
        <v>18</v>
      </c>
      <c r="E48" s="20" cm="1">
        <f t="array" aca="1" ref="E48" ca="1">IF(D48="","",IF(D48&lt;&gt;D47,1,IF(E47=misLíneas-2,0,E47+1)))</f>
        <v>1</v>
      </c>
      <c r="F48" s="20" t="str" cm="1">
        <f t="array" aca="1" ref="F48" ca="1">IF(OR(E48=0,E48=""),"",INDEX(misCriticidades,D48)&amp;"-"&amp;IFERROR(MATCH(E48,miOrdenTarjeta,0),0))</f>
        <v>3-1</v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6</v>
      </c>
      <c r="D49" s="20">
        <f t="shared" ca="1" si="21"/>
        <v>18</v>
      </c>
      <c r="E49" s="20" cm="1">
        <f t="array" aca="1" ref="E49" ca="1">IF(D49="","",IF(D49&lt;&gt;D48,1,IF(E48=misLíneas-2,0,E48+1)))</f>
        <v>2</v>
      </c>
      <c r="F49" s="20" t="str" cm="1">
        <f t="array" aca="1" ref="F49" ca="1">IF(OR(E49=0,E49=""),"",INDEX(misCriticidades,D49)&amp;"-"&amp;IFERROR(MATCH(E49,miOrdenTarjeta,0),0))</f>
        <v>3-2</v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6</v>
      </c>
      <c r="D50" s="20">
        <f t="shared" ca="1" si="21"/>
        <v>18</v>
      </c>
      <c r="E50" s="20" cm="1">
        <f t="array" aca="1" ref="E50" ca="1">IF(D50="","",IF(D50&lt;&gt;D49,1,IF(E49=misLíneas-2,0,E49+1)))</f>
        <v>3</v>
      </c>
      <c r="F50" s="20" t="str" cm="1">
        <f t="array" aca="1" ref="F50" ca="1">IF(OR(E50=0,E50=""),"",INDEX(misCriticidades,D50)&amp;"-"&amp;IFERROR(MATCH(E50,miOrdenTarjeta,0),0))</f>
        <v>3-3</v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6</v>
      </c>
      <c r="D51" s="20">
        <f t="shared" ca="1" si="21"/>
        <v>18</v>
      </c>
      <c r="E51" s="20" cm="1">
        <f t="array" aca="1" ref="E51" ca="1">IF(D51="","",IF(D51&lt;&gt;D50,1,IF(E50=misLíneas-2,0,E50+1)))</f>
        <v>4</v>
      </c>
      <c r="F51" s="20" t="str" cm="1">
        <f t="array" aca="1" ref="F51" ca="1">IF(OR(E51=0,E51=""),"",INDEX(misCriticidades,D51)&amp;"-"&amp;IFERROR(MATCH(E51,miOrdenTarjeta,0),0))</f>
        <v>3-4</v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6</v>
      </c>
      <c r="D52" s="20">
        <f t="shared" ca="1" si="21"/>
        <v>18</v>
      </c>
      <c r="E52" s="20" cm="1">
        <f t="array" aca="1" ref="E52" ca="1">IF(D52="","",IF(D52&lt;&gt;D51,1,IF(E51=misLíneas-2,0,E51+1)))</f>
        <v>5</v>
      </c>
      <c r="F52" s="20" t="str" cm="1">
        <f t="array" aca="1" ref="F52" ca="1">IF(OR(E52=0,E52=""),"",INDEX(misCriticidades,D52)&amp;"-"&amp;IFERROR(MATCH(E52,miOrdenTarjeta,0),0))</f>
        <v>3-5</v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6</v>
      </c>
      <c r="D53" s="20">
        <f t="shared" ca="1" si="21"/>
        <v>18</v>
      </c>
      <c r="E53" s="20" cm="1">
        <f t="array" aca="1" ref="E53" ca="1">IF(D53="","",IF(D53&lt;&gt;D52,1,IF(E52=misLíneas-2,0,E52+1)))</f>
        <v>6</v>
      </c>
      <c r="F53" s="20" t="str" cm="1">
        <f t="array" aca="1" ref="F53" ca="1">IF(OR(E53=0,E53=""),"",INDEX(misCriticidades,D53)&amp;"-"&amp;IFERROR(MATCH(E53,miOrdenTarjeta,0),0))</f>
        <v>3-6</v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6</v>
      </c>
      <c r="D54" s="20">
        <f t="shared" ca="1" si="21"/>
        <v>18</v>
      </c>
      <c r="E54" s="20" cm="1">
        <f t="array" aca="1" ref="E54" ca="1">IF(D54="","",IF(D54&lt;&gt;D53,1,IF(E53=misLíneas-2,0,E53+1)))</f>
        <v>7</v>
      </c>
      <c r="F54" s="20" t="str" cm="1">
        <f t="array" aca="1" ref="F54" ca="1">IF(OR(E54=0,E54=""),"",INDEX(misCriticidades,D54)&amp;"-"&amp;IFERROR(MATCH(E54,miOrdenTarjeta,0),0))</f>
        <v>3-7</v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6</v>
      </c>
      <c r="D55" s="20">
        <f t="shared" ca="1" si="21"/>
        <v>18</v>
      </c>
      <c r="E55" s="20" cm="1">
        <f t="array" aca="1" ref="E55" ca="1">IF(D55="","",IF(D55&lt;&gt;D54,1,IF(E54=misLíneas-2,0,E54+1)))</f>
        <v>8</v>
      </c>
      <c r="F55" s="20" t="str" cm="1">
        <f t="array" aca="1" ref="F55" ca="1">IF(OR(E55=0,E55=""),"",INDEX(misCriticidades,D55)&amp;"-"&amp;IFERROR(MATCH(E55,miOrdenTarjeta,0),0))</f>
        <v>3-8</v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6</v>
      </c>
      <c r="D56" s="20">
        <f t="shared" ca="1" si="21"/>
        <v>18</v>
      </c>
      <c r="E56" s="20" cm="1">
        <f t="array" aca="1" ref="E56" ca="1">IF(D56="","",IF(D56&lt;&gt;D55,1,IF(E55=misLíneas-2,0,E55+1)))</f>
        <v>0</v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7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7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7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7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7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7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7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7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7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7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7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7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7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7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7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7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7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7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7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10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7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10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7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10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7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10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7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10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7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10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7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10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7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10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7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10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7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9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7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9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7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9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7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9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7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9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7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9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7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9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7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9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7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9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7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8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7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8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7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8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7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8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7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8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7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8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7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8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7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8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7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8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7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7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7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7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7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7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7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7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7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7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7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7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7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7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7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7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7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7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7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6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7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6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7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6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7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6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7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6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7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6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7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6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7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6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7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6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7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5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7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5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7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5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7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5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7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5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7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5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7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5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7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5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7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5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7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4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7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4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7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4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7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4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7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4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7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4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7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4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7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4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7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4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7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3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7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3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7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3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7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3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7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3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7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3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7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3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7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3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7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3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7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2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7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2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7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2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7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2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7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2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7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2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7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2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7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2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7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2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7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7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7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7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7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7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7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7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7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7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7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7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7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7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7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7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7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7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7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19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7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19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7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19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7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19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7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19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7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19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7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19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7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19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7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19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7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19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7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19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7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19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7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19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7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19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7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19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7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19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7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19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7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19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7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19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7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19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7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19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7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19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7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19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7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19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7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19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62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</row>
    <row r="2" spans="1:7" x14ac:dyDescent="0.25">
      <c r="A2" s="32" t="str" cm="1">
        <f t="array" ref="A2">INDEX(TablaIdiomas[#This Row],1,$A$1)&amp;""</f>
        <v>Tablero KANBAN</v>
      </c>
      <c r="B2" s="2" t="s">
        <v>86</v>
      </c>
      <c r="C2" s="2" t="s">
        <v>87</v>
      </c>
      <c r="D2" s="2" t="s">
        <v>88</v>
      </c>
      <c r="E2" s="2" t="s">
        <v>89</v>
      </c>
      <c r="F2" s="2" t="s">
        <v>90</v>
      </c>
      <c r="G2" s="2" t="s">
        <v>91</v>
      </c>
    </row>
    <row r="3" spans="1:7" x14ac:dyDescent="0.25">
      <c r="A3" s="36" t="str" cm="1">
        <f t="array" ref="A3">INDEX(TablaIdiomas[#This Row],1,$A$1)&amp;""</f>
        <v>Idioma</v>
      </c>
      <c r="B3" s="2" t="s">
        <v>92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</row>
    <row r="4" spans="1:7" x14ac:dyDescent="0.25">
      <c r="A4" s="32" t="str" cm="1">
        <f t="array" ref="A4">INDEX(TablaIdiomas[#This Row],1,$A$1)&amp;""</f>
        <v>AVISO:</v>
      </c>
      <c r="B4" s="2" t="s">
        <v>98</v>
      </c>
      <c r="C4" s="2" t="s">
        <v>99</v>
      </c>
      <c r="D4" s="2" t="s">
        <v>100</v>
      </c>
      <c r="E4" s="2" t="s">
        <v>101</v>
      </c>
      <c r="F4" s="2" t="s">
        <v>102</v>
      </c>
      <c r="G4" s="2" t="s">
        <v>98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103</v>
      </c>
      <c r="C5" s="2" t="s">
        <v>104</v>
      </c>
      <c r="D5" s="2" t="s">
        <v>105</v>
      </c>
      <c r="E5" s="2" t="s">
        <v>106</v>
      </c>
      <c r="F5" s="2" t="s">
        <v>107</v>
      </c>
      <c r="G5" s="2" t="s">
        <v>108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109</v>
      </c>
      <c r="C6" s="2" t="s">
        <v>110</v>
      </c>
      <c r="D6" s="2" t="s">
        <v>111</v>
      </c>
      <c r="E6" s="2" t="s">
        <v>112</v>
      </c>
      <c r="F6" s="2" t="s">
        <v>113</v>
      </c>
      <c r="G6" s="2" t="s">
        <v>114</v>
      </c>
    </row>
    <row r="7" spans="1:7" x14ac:dyDescent="0.25">
      <c r="A7" s="36" t="str" cm="1">
        <f t="array" ref="A7">INDEX(TablaIdiomas[#This Row],1,$A$1)&amp;""</f>
        <v>Estados</v>
      </c>
      <c r="B7" s="2" t="s">
        <v>115</v>
      </c>
      <c r="C7" s="2" t="s">
        <v>116</v>
      </c>
      <c r="D7" s="2" t="s">
        <v>117</v>
      </c>
      <c r="E7" s="2" t="s">
        <v>118</v>
      </c>
      <c r="F7" s="2" t="s">
        <v>119</v>
      </c>
      <c r="G7" s="2" t="s">
        <v>115</v>
      </c>
    </row>
    <row r="8" spans="1:7" x14ac:dyDescent="0.25">
      <c r="A8" s="32" t="str" cm="1">
        <f t="array" ref="A8">INDEX(TablaIdiomas[#This Row],1,$A$1)&amp;""</f>
        <v>Criticidad</v>
      </c>
      <c r="B8" s="2" t="s">
        <v>120</v>
      </c>
      <c r="C8" s="2" t="s">
        <v>121</v>
      </c>
      <c r="D8" s="2" t="s">
        <v>122</v>
      </c>
      <c r="E8" s="2" t="s">
        <v>123</v>
      </c>
      <c r="F8" s="2" t="s">
        <v>124</v>
      </c>
      <c r="G8" s="2" t="s">
        <v>125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126</v>
      </c>
      <c r="C9" s="2" t="s">
        <v>127</v>
      </c>
      <c r="D9" s="2" t="s">
        <v>128</v>
      </c>
      <c r="E9" s="2" t="s">
        <v>129</v>
      </c>
      <c r="F9" s="2" t="s">
        <v>130</v>
      </c>
      <c r="G9" s="2" t="s">
        <v>131</v>
      </c>
    </row>
    <row r="10" spans="1:7" x14ac:dyDescent="0.25">
      <c r="A10" s="32" t="str" cm="1">
        <f t="array" ref="A10">INDEX(TablaIdiomas[#This Row],1,$A$1)&amp;""</f>
        <v>Estado final</v>
      </c>
      <c r="B10" s="2" t="s">
        <v>132</v>
      </c>
      <c r="C10" s="2" t="s">
        <v>133</v>
      </c>
      <c r="D10" s="2" t="s">
        <v>134</v>
      </c>
      <c r="E10" s="2" t="s">
        <v>135</v>
      </c>
      <c r="F10" s="2" t="s">
        <v>136</v>
      </c>
      <c r="G10" s="2" t="s">
        <v>132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137</v>
      </c>
      <c r="C11" s="2" t="s">
        <v>138</v>
      </c>
      <c r="D11" s="2" t="s">
        <v>139</v>
      </c>
      <c r="E11" s="2" t="s">
        <v>140</v>
      </c>
      <c r="F11" s="2" t="s">
        <v>141</v>
      </c>
      <c r="G11" s="2" t="s">
        <v>142</v>
      </c>
    </row>
    <row r="12" spans="1:7" x14ac:dyDescent="0.25">
      <c r="A12" s="32" t="str" cm="1">
        <f t="array" ref="A12">INDEX(TablaIdiomas[#This Row],1,$A$1)&amp;""</f>
        <v>Tarea</v>
      </c>
      <c r="B12" s="2" t="s">
        <v>143</v>
      </c>
      <c r="C12" s="2" t="s">
        <v>144</v>
      </c>
      <c r="D12" s="2" t="s">
        <v>145</v>
      </c>
      <c r="E12" s="2" t="s">
        <v>146</v>
      </c>
      <c r="F12" s="2" t="s">
        <v>147</v>
      </c>
      <c r="G12" s="2" t="s">
        <v>148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149</v>
      </c>
      <c r="C13" s="2" t="s">
        <v>150</v>
      </c>
      <c r="D13" s="2" t="s">
        <v>150</v>
      </c>
      <c r="E13" s="2" t="s">
        <v>151</v>
      </c>
      <c r="F13" s="2" t="s">
        <v>152</v>
      </c>
      <c r="G13" s="2" t="s">
        <v>153</v>
      </c>
    </row>
    <row r="14" spans="1:7" x14ac:dyDescent="0.25">
      <c r="A14" s="32" t="str" cm="1">
        <f t="array" ref="A14">INDEX(TablaIdiomas[#This Row],1,$A$1)&amp;""</f>
        <v>Inicio</v>
      </c>
      <c r="B14" s="2" t="s">
        <v>154</v>
      </c>
      <c r="C14" s="2" t="s">
        <v>155</v>
      </c>
      <c r="D14" s="2" t="s">
        <v>156</v>
      </c>
      <c r="E14" s="2" t="s">
        <v>157</v>
      </c>
      <c r="F14" s="2" t="s">
        <v>155</v>
      </c>
      <c r="G14" s="2" t="s">
        <v>158</v>
      </c>
    </row>
    <row r="15" spans="1:7" x14ac:dyDescent="0.25">
      <c r="A15" s="36" t="str" cm="1">
        <f t="array" ref="A15">INDEX(TablaIdiomas[#This Row],1,$A$1)&amp;""</f>
        <v>Previsto</v>
      </c>
      <c r="B15" s="2" t="s">
        <v>159</v>
      </c>
      <c r="C15" s="2" t="s">
        <v>160</v>
      </c>
      <c r="D15" s="2" t="s">
        <v>161</v>
      </c>
      <c r="E15" s="2" t="s">
        <v>162</v>
      </c>
      <c r="F15" s="2" t="s">
        <v>163</v>
      </c>
      <c r="G15" s="2" t="s">
        <v>164</v>
      </c>
    </row>
    <row r="16" spans="1:7" x14ac:dyDescent="0.25">
      <c r="A16" s="32" t="str" cm="1">
        <f t="array" ref="A16">INDEX(TablaIdiomas[#This Row],1,$A$1)&amp;""</f>
        <v>Final</v>
      </c>
      <c r="B16" s="2" t="s">
        <v>165</v>
      </c>
      <c r="C16" s="2" t="s">
        <v>165</v>
      </c>
      <c r="D16" s="2" t="s">
        <v>166</v>
      </c>
      <c r="E16" s="2" t="s">
        <v>166</v>
      </c>
      <c r="F16" s="2" t="s">
        <v>166</v>
      </c>
      <c r="G16" s="2" t="s">
        <v>165</v>
      </c>
    </row>
    <row r="17" spans="1:7" x14ac:dyDescent="0.25">
      <c r="A17" s="36" t="str" cm="1">
        <f t="array" ref="A17">INDEX(TablaIdiomas[#This Row],1,$A$1)&amp;""</f>
        <v>Duración</v>
      </c>
      <c r="B17" s="2" t="s">
        <v>167</v>
      </c>
      <c r="C17" s="2" t="s">
        <v>168</v>
      </c>
      <c r="D17" s="2" t="s">
        <v>169</v>
      </c>
      <c r="E17" s="2" t="s">
        <v>170</v>
      </c>
      <c r="F17" s="2" t="s">
        <v>171</v>
      </c>
      <c r="G17" s="2" t="s">
        <v>172</v>
      </c>
    </row>
    <row r="18" spans="1:7" x14ac:dyDescent="0.25">
      <c r="A18" s="32" t="str" cm="1">
        <f t="array" ref="A18">INDEX(TablaIdiomas[#This Row],1,$A$1)&amp;""</f>
        <v>Retraso</v>
      </c>
      <c r="B18" s="2" t="s">
        <v>173</v>
      </c>
      <c r="C18" s="2" t="s">
        <v>174</v>
      </c>
      <c r="D18" s="2" t="s">
        <v>175</v>
      </c>
      <c r="E18" s="2" t="s">
        <v>176</v>
      </c>
      <c r="F18" s="2" t="s">
        <v>177</v>
      </c>
      <c r="G18" s="2" t="s">
        <v>178</v>
      </c>
    </row>
    <row r="19" spans="1:7" x14ac:dyDescent="0.25">
      <c r="A19" s="36" t="str" cm="1">
        <f t="array" ref="A19">INDEX(TablaIdiomas[#This Row],1,$A$1)&amp;""</f>
        <v>Asignado</v>
      </c>
      <c r="B19" s="2" t="s">
        <v>179</v>
      </c>
      <c r="C19" s="2" t="s">
        <v>180</v>
      </c>
      <c r="D19" s="2" t="s">
        <v>181</v>
      </c>
      <c r="E19" s="2" t="s">
        <v>182</v>
      </c>
      <c r="F19" s="2" t="s">
        <v>183</v>
      </c>
      <c r="G19" s="2" t="s">
        <v>184</v>
      </c>
    </row>
    <row r="20" spans="1:7" x14ac:dyDescent="0.25">
      <c r="A20" s="32" t="str" cm="1">
        <f t="array" ref="A20">INDEX(TablaIdiomas[#This Row],1,$A$1)&amp;""</f>
        <v>Filtro</v>
      </c>
      <c r="B20" s="2" t="s">
        <v>185</v>
      </c>
      <c r="C20" s="2" t="s">
        <v>186</v>
      </c>
      <c r="D20" s="2" t="s">
        <v>187</v>
      </c>
      <c r="E20" s="2" t="s">
        <v>185</v>
      </c>
      <c r="F20" s="2" t="s">
        <v>186</v>
      </c>
      <c r="G20" s="2" t="s">
        <v>185</v>
      </c>
    </row>
    <row r="21" spans="1:7" x14ac:dyDescent="0.25">
      <c r="A21" s="36" t="str" cm="1">
        <f t="array" ref="A21">INDEX(TablaIdiomas[#This Row],1,$A$1)&amp;""</f>
        <v>Celda</v>
      </c>
      <c r="B21" s="2" t="s">
        <v>188</v>
      </c>
      <c r="C21" s="2" t="s">
        <v>189</v>
      </c>
      <c r="D21" s="2" t="s">
        <v>190</v>
      </c>
      <c r="E21" s="2" t="s">
        <v>191</v>
      </c>
      <c r="F21" s="2" t="s">
        <v>192</v>
      </c>
      <c r="G21" s="2" t="s">
        <v>193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194</v>
      </c>
      <c r="C22" s="2" t="s">
        <v>195</v>
      </c>
      <c r="D22" s="2" t="s">
        <v>196</v>
      </c>
      <c r="E22" s="2" t="s">
        <v>197</v>
      </c>
      <c r="F22" s="2" t="s">
        <v>198</v>
      </c>
      <c r="G22" s="2" t="s">
        <v>199</v>
      </c>
    </row>
    <row r="23" spans="1:7" x14ac:dyDescent="0.25">
      <c r="A23" s="36" t="str" cm="1">
        <f t="array" ref="A23">INDEX(TablaIdiomas[#This Row],1,$A$1)&amp;""</f>
        <v>líneas</v>
      </c>
      <c r="B23" s="2" t="s">
        <v>200</v>
      </c>
      <c r="C23" s="2" t="s">
        <v>201</v>
      </c>
      <c r="D23" s="2" t="s">
        <v>202</v>
      </c>
      <c r="E23" s="2" t="s">
        <v>203</v>
      </c>
      <c r="F23" s="2" t="s">
        <v>204</v>
      </c>
      <c r="G23" s="2" t="s">
        <v>205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206</v>
      </c>
      <c r="C24" s="2" t="s">
        <v>207</v>
      </c>
      <c r="D24" s="2" t="s">
        <v>208</v>
      </c>
      <c r="E24" s="2" t="s">
        <v>209</v>
      </c>
      <c r="F24" s="2" t="s">
        <v>210</v>
      </c>
      <c r="G24" s="2" t="s">
        <v>211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212</v>
      </c>
      <c r="C25" s="2" t="s">
        <v>213</v>
      </c>
      <c r="D25" s="2" t="s">
        <v>214</v>
      </c>
      <c r="E25" s="2" t="s">
        <v>215</v>
      </c>
      <c r="F25" s="2" t="s">
        <v>216</v>
      </c>
      <c r="G25" s="2" t="s">
        <v>217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218</v>
      </c>
      <c r="C26" s="2" t="s">
        <v>219</v>
      </c>
      <c r="D26" s="2" t="s">
        <v>220</v>
      </c>
      <c r="E26" s="2" t="s">
        <v>221</v>
      </c>
      <c r="F26" s="2" t="s">
        <v>222</v>
      </c>
      <c r="G26" s="2" t="s">
        <v>223</v>
      </c>
    </row>
    <row r="27" spans="1:7" x14ac:dyDescent="0.25">
      <c r="A27" s="36" t="str" cm="1">
        <f t="array" ref="A27">INDEX(TablaIdiomas[#This Row],1,$A$1)&amp;""</f>
        <v>Con el texto</v>
      </c>
      <c r="B27" s="2" t="s">
        <v>224</v>
      </c>
      <c r="C27" s="2" t="s">
        <v>225</v>
      </c>
      <c r="D27" s="2" t="s">
        <v>226</v>
      </c>
      <c r="E27" s="2" t="s">
        <v>227</v>
      </c>
      <c r="F27" s="2" t="s">
        <v>228</v>
      </c>
      <c r="G27" s="2" t="s">
        <v>229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230</v>
      </c>
      <c r="C28" s="2" t="s">
        <v>231</v>
      </c>
      <c r="D28" s="2" t="s">
        <v>232</v>
      </c>
      <c r="E28" s="2" t="s">
        <v>233</v>
      </c>
      <c r="F28" s="2" t="s">
        <v>234</v>
      </c>
      <c r="G28" s="2" t="s">
        <v>235</v>
      </c>
    </row>
    <row r="29" spans="1:7" x14ac:dyDescent="0.25">
      <c r="A29" s="36" t="str" cm="1">
        <f t="array" ref="A29">INDEX(TablaIdiomas[#This Row],1,$A$1)&amp;""</f>
        <v>días</v>
      </c>
      <c r="B29" s="2" t="s">
        <v>236</v>
      </c>
      <c r="C29" s="2" t="s">
        <v>237</v>
      </c>
      <c r="D29" s="2" t="s">
        <v>238</v>
      </c>
      <c r="E29" s="2" t="s">
        <v>239</v>
      </c>
      <c r="F29" s="2" t="s">
        <v>240</v>
      </c>
      <c r="G29" s="2" t="s">
        <v>241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242</v>
      </c>
      <c r="C30" s="2" t="s">
        <v>243</v>
      </c>
      <c r="D30" s="2" t="s">
        <v>244</v>
      </c>
      <c r="E30" s="2" t="s">
        <v>245</v>
      </c>
      <c r="F30" s="2" t="s">
        <v>246</v>
      </c>
      <c r="G30" s="2" t="s">
        <v>247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248</v>
      </c>
      <c r="C31" s="2" t="s">
        <v>249</v>
      </c>
      <c r="D31" s="2" t="s">
        <v>250</v>
      </c>
      <c r="E31" s="2" t="s">
        <v>251</v>
      </c>
      <c r="F31" s="2" t="s">
        <v>252</v>
      </c>
      <c r="G31" s="2" t="s">
        <v>253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254</v>
      </c>
      <c r="C32" s="2" t="s">
        <v>255</v>
      </c>
      <c r="D32" s="2" t="s">
        <v>256</v>
      </c>
      <c r="E32" s="2" t="s">
        <v>257</v>
      </c>
      <c r="F32" s="2" t="s">
        <v>258</v>
      </c>
      <c r="G32" s="2" t="s">
        <v>259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260</v>
      </c>
      <c r="C33" s="2" t="s">
        <v>261</v>
      </c>
      <c r="D33" s="2" t="s">
        <v>262</v>
      </c>
      <c r="E33" s="2" t="s">
        <v>263</v>
      </c>
      <c r="F33" s="2" t="s">
        <v>264</v>
      </c>
      <c r="G33" s="2" t="s">
        <v>265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jordy viscaino</cp:lastModifiedBy>
  <cp:revision>0</cp:revision>
  <dcterms:created xsi:type="dcterms:W3CDTF">2022-12-26T11:27:14Z</dcterms:created>
  <dcterms:modified xsi:type="dcterms:W3CDTF">2026-07-16T01:03:18Z</dcterms:modified>
  <cp:category/>
  <cp:contentStatus/>
</cp:coreProperties>
</file>