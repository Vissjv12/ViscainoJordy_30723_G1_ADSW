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26B7CC85-E689-4CA2-B729-C5DB03E05A19}" xr6:coauthVersionLast="47" xr6:coauthVersionMax="47" xr10:uidLastSave="{00000000-0000-0000-0000-000000000000}"/>
  <workbookProtection lockStructure="1"/>
  <bookViews>
    <workbookView xWindow="-110" yWindow="-110" windowWidth="19420" windowHeight="110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N14" i="5"/>
  <c r="M91" i="5"/>
  <c r="L85" i="5"/>
  <c r="L86" i="5"/>
  <c r="M70" i="5"/>
  <c r="N92" i="5"/>
  <c r="L59" i="5"/>
  <c r="N59" i="5"/>
  <c r="L79" i="5"/>
  <c r="L13" i="5"/>
  <c r="N89" i="5"/>
  <c r="M26" i="5"/>
  <c r="L28" i="5"/>
  <c r="M89" i="5"/>
  <c r="L101" i="5"/>
  <c r="M59" i="5"/>
  <c r="N81" i="5"/>
  <c r="L17" i="5"/>
  <c r="L76" i="5"/>
  <c r="L50" i="5"/>
  <c r="L55" i="5"/>
  <c r="M50" i="5"/>
  <c r="M66" i="5"/>
  <c r="N31" i="5"/>
  <c r="L34" i="5"/>
  <c r="L45" i="5"/>
  <c r="M32" i="5"/>
  <c r="L40" i="5"/>
  <c r="L4" i="5"/>
  <c r="M23" i="5"/>
  <c r="N58" i="5"/>
  <c r="M80" i="5"/>
  <c r="L56" i="5"/>
  <c r="N18" i="5"/>
  <c r="L51" i="5"/>
  <c r="L82" i="5"/>
  <c r="M17" i="5"/>
  <c r="L71" i="5"/>
  <c r="N26" i="5"/>
  <c r="L64" i="5"/>
  <c r="L19" i="5"/>
  <c r="L41" i="5"/>
  <c r="M99" i="5"/>
  <c r="N17" i="5"/>
  <c r="N21" i="5"/>
  <c r="L7" i="5"/>
  <c r="L46" i="5"/>
  <c r="M51" i="5"/>
  <c r="L91" i="5"/>
  <c r="N57" i="5"/>
  <c r="L14" i="5"/>
  <c r="M69" i="5"/>
  <c r="N85" i="5"/>
  <c r="N32" i="5"/>
  <c r="M61" i="5"/>
  <c r="L99" i="5"/>
  <c r="L6" i="5"/>
  <c r="L96" i="5"/>
  <c r="N80" i="5"/>
  <c r="M46" i="5"/>
  <c r="M86" i="5"/>
  <c r="N3" i="5"/>
  <c r="L21" i="5"/>
  <c r="M96" i="5"/>
  <c r="M31" i="5"/>
  <c r="M30" i="5"/>
  <c r="N4" i="5"/>
  <c r="L70" i="5"/>
  <c r="L57" i="5"/>
  <c r="M77" i="5"/>
  <c r="M63" i="5"/>
  <c r="M90" i="5"/>
  <c r="M11" i="5"/>
  <c r="N29" i="5"/>
  <c r="M40" i="5"/>
  <c r="M101" i="5"/>
  <c r="M38" i="5"/>
  <c r="N37" i="5"/>
  <c r="M65" i="5"/>
  <c r="N82" i="5"/>
  <c r="L73" i="5"/>
  <c r="N6" i="5"/>
  <c r="L58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M78" i="5"/>
  <c r="N23" i="5"/>
  <c r="M82" i="5"/>
  <c r="L52" i="5"/>
  <c r="L67" i="5"/>
  <c r="N78" i="5"/>
  <c r="M74" i="5"/>
  <c r="N22" i="5"/>
  <c r="M28" i="5"/>
  <c r="N95" i="5"/>
  <c r="N70" i="5"/>
  <c r="N87" i="5"/>
  <c r="N98" i="5"/>
  <c r="N24" i="5"/>
  <c r="L62" i="5"/>
  <c r="N84" i="5"/>
  <c r="N72" i="5"/>
  <c r="M10" i="5"/>
  <c r="N55" i="5"/>
  <c r="N93" i="5"/>
  <c r="L10" i="5"/>
  <c r="M49" i="5"/>
  <c r="L83" i="5"/>
  <c r="L32" i="5"/>
  <c r="M98" i="5"/>
  <c r="M84" i="5"/>
  <c r="L15" i="5"/>
  <c r="N38" i="5"/>
  <c r="L9" i="5"/>
  <c r="N61" i="5"/>
  <c r="N94" i="5"/>
  <c r="N8" i="5"/>
  <c r="L60" i="5"/>
  <c r="N86" i="5"/>
  <c r="N63" i="5"/>
  <c r="L33" i="5"/>
  <c r="N50" i="5"/>
  <c r="L5" i="5"/>
  <c r="M34" i="5"/>
  <c r="M76" i="5"/>
  <c r="N15" i="5"/>
  <c r="M7" i="5"/>
  <c r="N88" i="5"/>
  <c r="M88" i="5"/>
  <c r="N48" i="5"/>
  <c r="L39" i="5"/>
  <c r="N45" i="5"/>
  <c r="M60" i="5"/>
  <c r="L63" i="5"/>
  <c r="M71" i="5"/>
  <c r="M35" i="5"/>
  <c r="L3" i="5"/>
  <c r="M47" i="5"/>
  <c r="L100" i="5"/>
  <c r="M18" i="5"/>
  <c r="M2" i="5"/>
  <c r="N66" i="5"/>
  <c r="L88" i="5"/>
  <c r="N76" i="5"/>
  <c r="N53" i="5"/>
  <c r="L8" i="5"/>
  <c r="L84" i="5"/>
  <c r="L20" i="5"/>
  <c r="N65" i="5"/>
  <c r="M95" i="5"/>
  <c r="M3" i="5"/>
  <c r="N7" i="5"/>
  <c r="L78" i="5"/>
  <c r="M13" i="5"/>
  <c r="M22" i="5"/>
  <c r="N79" i="5"/>
  <c r="L16" i="5"/>
  <c r="M5" i="5"/>
  <c r="N25" i="5"/>
  <c r="N77" i="5"/>
  <c r="L22" i="5"/>
  <c r="L92" i="5"/>
  <c r="L42" i="5"/>
  <c r="N91" i="5"/>
  <c r="L66" i="5"/>
  <c r="M92" i="5"/>
  <c r="M64" i="5"/>
  <c r="M44" i="5"/>
  <c r="L38" i="5"/>
  <c r="M29" i="5"/>
  <c r="N5" i="5"/>
  <c r="M83" i="5"/>
  <c r="N74" i="5"/>
  <c r="M85" i="5"/>
  <c r="N44" i="5"/>
  <c r="L89" i="5"/>
  <c r="M12" i="5"/>
  <c r="N71" i="5"/>
  <c r="N35" i="5"/>
  <c r="N90" i="5"/>
  <c r="M25" i="5"/>
  <c r="N43" i="5"/>
  <c r="N51" i="5"/>
  <c r="M67" i="5"/>
  <c r="N9" i="5"/>
  <c r="M27" i="5"/>
  <c r="L94" i="5"/>
  <c r="L87" i="5"/>
  <c r="N30" i="5"/>
  <c r="M24" i="5"/>
  <c r="L61" i="5"/>
  <c r="M79" i="5"/>
  <c r="M19" i="5"/>
  <c r="M16" i="5"/>
  <c r="N12" i="5"/>
  <c r="M8" i="5"/>
  <c r="N100" i="5"/>
  <c r="M48" i="5"/>
  <c r="N13" i="5"/>
  <c r="L47" i="5"/>
  <c r="N83" i="5"/>
  <c r="L80" i="5"/>
  <c r="L29" i="5"/>
  <c r="N68" i="5"/>
  <c r="N19" i="5"/>
  <c r="N28" i="5"/>
  <c r="N64" i="5"/>
  <c r="N99" i="5"/>
  <c r="N73" i="5"/>
  <c r="N47" i="5"/>
  <c r="M94" i="5"/>
  <c r="M72" i="5"/>
  <c r="N39" i="5"/>
  <c r="M36" i="5"/>
  <c r="M54" i="5"/>
  <c r="M6" i="5"/>
  <c r="L93" i="5"/>
  <c r="M41" i="5"/>
  <c r="N56" i="5"/>
  <c r="L65" i="5"/>
  <c r="M45" i="5"/>
  <c r="M39" i="5"/>
  <c r="M68" i="5"/>
  <c r="N54" i="5"/>
  <c r="M97" i="5"/>
  <c r="M53" i="5"/>
  <c r="L69" i="5"/>
  <c r="N11" i="5"/>
  <c r="N33" i="5"/>
  <c r="L44" i="5"/>
  <c r="L74" i="5"/>
  <c r="N62" i="5"/>
  <c r="L27" i="5"/>
  <c r="L98" i="5"/>
  <c r="M81" i="5"/>
  <c r="N75" i="5"/>
  <c r="L2" i="5"/>
  <c r="L77" i="5"/>
  <c r="M21" i="5"/>
  <c r="L54" i="5"/>
  <c r="N52" i="5"/>
  <c r="L11" i="5"/>
  <c r="M57" i="5"/>
  <c r="N67" i="5"/>
  <c r="N97" i="5"/>
  <c r="N69" i="5"/>
  <c r="N60" i="5"/>
  <c r="N46" i="5"/>
  <c r="L30" i="5"/>
  <c r="L81" i="5"/>
  <c r="M87" i="5"/>
  <c r="M20" i="5"/>
  <c r="N20" i="5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L97" i="5"/>
  <c r="L48" i="5"/>
  <c r="L25" i="5"/>
  <c r="M15" i="5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67" i="5"/>
  <c r="J94" i="5"/>
  <c r="J33" i="5"/>
  <c r="J42" i="5"/>
  <c r="J4" i="5"/>
  <c r="J73" i="5"/>
  <c r="J18" i="5"/>
  <c r="J62" i="5"/>
  <c r="J7" i="5"/>
  <c r="J22" i="5"/>
  <c r="J56" i="5"/>
  <c r="J84" i="5"/>
  <c r="J77" i="5"/>
  <c r="J70" i="5"/>
  <c r="J88" i="5"/>
  <c r="J2" i="5"/>
  <c r="J41" i="5"/>
  <c r="J65" i="5"/>
  <c r="J27" i="5"/>
  <c r="J93" i="5"/>
  <c r="J98" i="5"/>
  <c r="J76" i="5"/>
  <c r="J13" i="5"/>
  <c r="J60" i="5"/>
  <c r="J37" i="5"/>
  <c r="J54" i="5"/>
  <c r="J80" i="5"/>
  <c r="J61" i="5"/>
  <c r="J40" i="5"/>
  <c r="J17" i="5"/>
  <c r="J10" i="5"/>
  <c r="J97" i="5"/>
  <c r="J83" i="5"/>
  <c r="J64" i="5"/>
  <c r="J92" i="5"/>
  <c r="J30" i="5"/>
  <c r="J95" i="5"/>
  <c r="J5" i="5"/>
  <c r="J82" i="5"/>
  <c r="J48" i="5"/>
  <c r="J50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87" i="5"/>
  <c r="J31" i="5"/>
  <c r="J74" i="5"/>
  <c r="J3" i="5"/>
  <c r="J85" i="5"/>
  <c r="J34" i="5"/>
  <c r="J23" i="5"/>
  <c r="J99" i="5"/>
  <c r="J81" i="5"/>
  <c r="J15" i="5"/>
  <c r="J9" i="5"/>
  <c r="J55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63" i="5"/>
  <c r="J75" i="5"/>
  <c r="J78" i="5"/>
  <c r="J57" i="5"/>
  <c r="J19" i="5"/>
  <c r="J66" i="5"/>
  <c r="J72" i="5"/>
  <c r="J39" i="5"/>
  <c r="J11" i="5"/>
  <c r="J47" i="5"/>
  <c r="J44" i="5"/>
  <c r="J12" i="5"/>
  <c r="J14" i="5"/>
  <c r="J79" i="5"/>
  <c r="J28" i="5"/>
  <c r="J35" i="5"/>
  <c r="J46" i="5"/>
  <c r="J25" i="5"/>
  <c r="J20" i="5"/>
  <c r="J49" i="5"/>
  <c r="J71" i="5"/>
  <c r="J53" i="5"/>
  <c r="J26" i="5"/>
  <c r="J68" i="5"/>
  <c r="J6" i="5"/>
  <c r="J32" i="5"/>
  <c r="J52" i="5"/>
  <c r="J38" i="5"/>
  <c r="J45" i="5"/>
  <c r="J21" i="5"/>
  <c r="J86" i="5"/>
  <c r="J16" i="5"/>
  <c r="J96" i="5"/>
  <c r="J29" i="5"/>
  <c r="J90" i="5"/>
  <c r="J89" i="5"/>
  <c r="J59" i="5"/>
  <c r="J8" i="5"/>
  <c r="J101" i="5"/>
  <c r="J51" i="5"/>
  <c r="J36" i="5"/>
  <c r="J43" i="5"/>
  <c r="J69" i="5"/>
  <c r="J24" i="5"/>
  <c r="J100" i="5"/>
  <c r="J91" i="5"/>
  <c r="J58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91" i="5"/>
  <c r="G78" i="5"/>
  <c r="G97" i="5"/>
  <c r="G60" i="5"/>
  <c r="G39" i="5"/>
  <c r="G7" i="5"/>
  <c r="G30" i="5"/>
  <c r="G33" i="5"/>
  <c r="G46" i="5"/>
  <c r="G53" i="5"/>
  <c r="G77" i="5"/>
  <c r="G23" i="5"/>
  <c r="G8" i="5"/>
  <c r="G93" i="5"/>
  <c r="G49" i="5"/>
  <c r="G4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71" i="5"/>
  <c r="G27" i="5"/>
  <c r="G5" i="5"/>
  <c r="G72" i="5"/>
  <c r="G10" i="5"/>
  <c r="G83" i="5"/>
  <c r="G43" i="5"/>
  <c r="G18" i="5"/>
  <c r="G40" i="5"/>
  <c r="G45" i="5"/>
  <c r="G17" i="5"/>
  <c r="G58" i="5"/>
  <c r="G56" i="5"/>
  <c r="G3" i="5"/>
  <c r="G12" i="5"/>
  <c r="G16" i="5"/>
  <c r="G50" i="5"/>
  <c r="G69" i="5"/>
  <c r="G13" i="5"/>
  <c r="G66" i="5"/>
  <c r="G10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29" i="5"/>
  <c r="G38" i="5"/>
  <c r="G6" i="5"/>
  <c r="G15" i="5"/>
  <c r="G81" i="5"/>
  <c r="G65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G79" i="5"/>
  <c r="G68" i="5"/>
  <c r="G55" i="5"/>
  <c r="G31" i="5"/>
  <c r="G90" i="5"/>
  <c r="G89" i="5"/>
  <c r="G94" i="5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G35" i="5"/>
  <c r="G73" i="5"/>
  <c r="G57" i="5"/>
  <c r="G84" i="5"/>
  <c r="G28" i="5"/>
  <c r="G32" i="5"/>
  <c r="G34" i="5"/>
  <c r="G54" i="5"/>
  <c r="G41" i="5"/>
  <c r="G74" i="5"/>
  <c r="G24" i="5"/>
  <c r="G62" i="5"/>
  <c r="G52" i="5"/>
  <c r="G67" i="5"/>
  <c r="G75" i="5"/>
  <c r="G95" i="5"/>
  <c r="G11" i="5"/>
  <c r="G19" i="5"/>
  <c r="G82" i="5"/>
  <c r="G14" i="5"/>
  <c r="G2" i="5"/>
  <c r="G22" i="5"/>
  <c r="G80" i="5"/>
  <c r="G64" i="5"/>
  <c r="G70" i="5"/>
  <c r="G99" i="5"/>
  <c r="G61" i="5"/>
  <c r="G48" i="5"/>
  <c r="G87" i="5"/>
  <c r="G96" i="5"/>
  <c r="G98" i="5"/>
  <c r="G36" i="5"/>
  <c r="G37" i="5"/>
  <c r="G47" i="5"/>
  <c r="G88" i="5"/>
  <c r="G42" i="5"/>
  <c r="G51" i="5"/>
  <c r="G92" i="5"/>
  <c r="G26" i="5"/>
  <c r="G76" i="5"/>
  <c r="G25" i="5"/>
  <c r="G20" i="5"/>
  <c r="G44" i="5"/>
  <c r="G86" i="5"/>
  <c r="G21" i="5"/>
  <c r="G63" i="5"/>
  <c r="G85" i="5"/>
  <c r="G59" i="5"/>
  <c r="G100" i="5"/>
  <c r="G9" i="5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0" i="5"/>
  <c r="F97" i="5"/>
  <c r="F65" i="5"/>
  <c r="F34" i="5"/>
  <c r="F86" i="5"/>
  <c r="F27" i="5"/>
  <c r="F96" i="5"/>
  <c r="F63" i="5"/>
  <c r="F70" i="5"/>
  <c r="F56" i="5"/>
  <c r="F6" i="5"/>
  <c r="F68" i="5"/>
  <c r="F25" i="5"/>
  <c r="F49" i="5"/>
  <c r="F64" i="5"/>
  <c r="F12" i="5"/>
  <c r="F8" i="5"/>
  <c r="F52" i="5"/>
  <c r="F57" i="5"/>
  <c r="F77" i="5"/>
  <c r="F60" i="5"/>
  <c r="F81" i="5"/>
  <c r="F54" i="5"/>
  <c r="F44" i="5"/>
  <c r="F21" i="5"/>
  <c r="F87" i="5"/>
  <c r="F88" i="5"/>
  <c r="F13" i="5"/>
  <c r="F9" i="5"/>
  <c r="F28" i="5"/>
  <c r="F94" i="5"/>
  <c r="F92" i="5"/>
  <c r="F32" i="5"/>
  <c r="F90" i="5"/>
  <c r="F22" i="5"/>
  <c r="F31" i="5"/>
  <c r="F24" i="5"/>
  <c r="F95" i="5"/>
  <c r="F33" i="5"/>
  <c r="F45" i="5"/>
  <c r="F69" i="5"/>
  <c r="F66" i="5"/>
  <c r="F47" i="5"/>
  <c r="F15" i="5"/>
  <c r="F98" i="5"/>
  <c r="F14" i="5"/>
  <c r="F43" i="5"/>
  <c r="F30" i="5"/>
  <c r="F67" i="5"/>
  <c r="F11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7" i="5"/>
  <c r="F61" i="5"/>
  <c r="F51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F2" i="5"/>
  <c r="F85" i="5"/>
  <c r="F26" i="5"/>
  <c r="F53" i="5"/>
  <c r="F91" i="5"/>
  <c r="F76" i="5"/>
  <c r="F38" i="5"/>
  <c r="F10" i="5"/>
  <c r="F46" i="5"/>
  <c r="F79" i="5"/>
  <c r="H16" i="5"/>
  <c r="F48" i="5"/>
  <c r="F29" i="5"/>
  <c r="F59" i="5"/>
  <c r="F41" i="5"/>
  <c r="F99" i="5"/>
  <c r="F17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79" i="5"/>
  <c r="F35" i="5"/>
  <c r="H23" i="5"/>
  <c r="F20" i="5"/>
  <c r="H49" i="5"/>
  <c r="H86" i="5"/>
  <c r="H57" i="5"/>
  <c r="H44" i="5"/>
  <c r="F75" i="5"/>
  <c r="F58" i="5"/>
  <c r="F84" i="5"/>
  <c r="H28" i="5"/>
  <c r="H52" i="5"/>
  <c r="H25" i="5"/>
  <c r="H98" i="5"/>
  <c r="F19" i="5"/>
  <c r="F39" i="5"/>
  <c r="H48" i="5"/>
  <c r="H19" i="5"/>
  <c r="H41" i="5"/>
  <c r="H94" i="5"/>
  <c r="H74" i="5"/>
  <c r="F40" i="5"/>
  <c r="F18" i="5"/>
  <c r="H14" i="5"/>
  <c r="H83" i="5"/>
  <c r="H69" i="5"/>
  <c r="H45" i="5"/>
  <c r="H12" i="5"/>
  <c r="H4" i="5"/>
  <c r="H54" i="5"/>
  <c r="F42" i="5"/>
  <c r="H56" i="5"/>
  <c r="H46" i="5"/>
  <c r="F78" i="5"/>
  <c r="H81" i="5"/>
  <c r="F93" i="5"/>
  <c r="H31" i="5"/>
  <c r="H91" i="5"/>
  <c r="H3" i="5"/>
  <c r="H18" i="5"/>
  <c r="F3" i="5"/>
  <c r="H6" i="5"/>
  <c r="H38" i="5"/>
  <c r="H17" i="5"/>
  <c r="H95" i="5"/>
  <c r="H93" i="5"/>
  <c r="H78" i="5"/>
  <c r="H55" i="5"/>
  <c r="F100" i="5"/>
  <c r="H77" i="5"/>
  <c r="H35" i="5"/>
  <c r="H61" i="5"/>
  <c r="H82" i="5"/>
  <c r="F73" i="5"/>
  <c r="H67" i="5"/>
  <c r="H90" i="5"/>
  <c r="F82" i="5"/>
  <c r="H87" i="5"/>
  <c r="H88" i="5"/>
  <c r="F101" i="5"/>
  <c r="F55" i="5"/>
  <c r="H58" i="5"/>
  <c r="H66" i="5"/>
  <c r="H73" i="5"/>
  <c r="H92" i="5"/>
  <c r="H27" i="5"/>
  <c r="H21" i="5"/>
  <c r="F36" i="5"/>
  <c r="F37" i="5"/>
  <c r="H65" i="5"/>
  <c r="H7" i="5"/>
  <c r="H59" i="5"/>
  <c r="H22" i="5"/>
  <c r="H53" i="5"/>
  <c r="H97" i="5"/>
  <c r="H70" i="5"/>
  <c r="H33" i="5"/>
  <c r="H96" i="5"/>
  <c r="F62" i="5"/>
  <c r="F89" i="5"/>
  <c r="F80" i="5"/>
  <c r="H24" i="5"/>
  <c r="H11" i="5"/>
  <c r="H99" i="5"/>
  <c r="H75" i="5"/>
  <c r="H10" i="5"/>
  <c r="H29" i="5"/>
  <c r="H101" i="5"/>
  <c r="H64" i="5"/>
  <c r="H26" i="5"/>
  <c r="H39" i="5"/>
  <c r="H76" i="5"/>
  <c r="F16" i="5"/>
  <c r="F4" i="5"/>
  <c r="H63" i="5"/>
  <c r="H13" i="5"/>
  <c r="F83" i="5"/>
  <c r="H30" i="5"/>
  <c r="H32" i="5"/>
  <c r="H47" i="5"/>
  <c r="H71" i="5"/>
  <c r="H84" i="5"/>
  <c r="H34" i="5"/>
  <c r="H43" i="5"/>
  <c r="F5" i="5"/>
  <c r="H40" i="5"/>
  <c r="H51" i="5"/>
  <c r="F23" i="5"/>
  <c r="H5" i="5"/>
  <c r="H36" i="5"/>
  <c r="H68" i="5"/>
  <c r="H9" i="5"/>
  <c r="H85" i="5"/>
  <c r="H72" i="5"/>
  <c r="H60" i="5"/>
  <c r="H62" i="5"/>
  <c r="F74" i="5"/>
  <c r="H42" i="5"/>
  <c r="H100" i="5"/>
  <c r="F72" i="5"/>
  <c r="H15" i="5"/>
  <c r="F71" i="5"/>
  <c r="H37" i="5"/>
  <c r="H50" i="5"/>
  <c r="H2" i="5"/>
  <c r="H8" i="5"/>
  <c r="H20" i="5"/>
  <c r="H89" i="5"/>
  <c r="H80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95" i="5"/>
  <c r="I90" i="5"/>
  <c r="I56" i="5"/>
  <c r="I42" i="5"/>
  <c r="I97" i="5"/>
  <c r="I72" i="5"/>
  <c r="I86" i="5"/>
  <c r="I12" i="5"/>
  <c r="I13" i="5"/>
  <c r="I23" i="5"/>
  <c r="I71" i="5"/>
  <c r="I21" i="5"/>
  <c r="I69" i="5"/>
  <c r="I25" i="5"/>
  <c r="I7" i="5"/>
  <c r="I11" i="5"/>
  <c r="I61" i="5"/>
  <c r="I4" i="5"/>
  <c r="I28" i="5"/>
  <c r="I43" i="5"/>
  <c r="I39" i="5"/>
  <c r="I41" i="5"/>
  <c r="I29" i="5"/>
  <c r="I45" i="5"/>
  <c r="I27" i="5"/>
  <c r="I76" i="5"/>
  <c r="I3" i="5"/>
  <c r="I40" i="5"/>
  <c r="I31" i="5"/>
  <c r="I57" i="5"/>
  <c r="I47" i="5"/>
  <c r="I101" i="5"/>
  <c r="I37" i="5"/>
  <c r="I70" i="5"/>
  <c r="I75" i="5"/>
  <c r="I32" i="5"/>
  <c r="I100" i="5"/>
  <c r="I85" i="5"/>
  <c r="I33" i="5"/>
  <c r="I58" i="5"/>
  <c r="I51" i="5"/>
  <c r="I59" i="5"/>
  <c r="I80" i="5"/>
  <c r="I81" i="5"/>
  <c r="I83" i="5"/>
  <c r="I20" i="5"/>
  <c r="I17" i="5"/>
  <c r="I14" i="5"/>
  <c r="I91" i="5"/>
  <c r="I8" i="5"/>
  <c r="I18" i="5"/>
  <c r="I63" i="5"/>
  <c r="I84" i="5"/>
  <c r="I77" i="5"/>
  <c r="I50" i="5"/>
  <c r="I79" i="5"/>
  <c r="I87" i="5"/>
  <c r="I98" i="5"/>
  <c r="I67" i="5"/>
  <c r="I89" i="5"/>
  <c r="I52" i="5"/>
  <c r="I96" i="5"/>
  <c r="I6" i="5"/>
  <c r="I73" i="5"/>
  <c r="I53" i="5"/>
  <c r="I94" i="5"/>
  <c r="I26" i="5"/>
  <c r="I5" i="5"/>
  <c r="I66" i="5"/>
  <c r="C135" i="1" l="1" a="1"/>
  <c r="C135" i="1" s="1"/>
  <c r="D135" i="1" a="1"/>
  <c r="D135" i="1" s="1"/>
  <c r="C133" i="4"/>
  <c r="D133" i="4" s="1"/>
  <c r="E133" i="4" s="1" a="1"/>
  <c r="E133" i="4" s="1"/>
  <c r="I99" i="5"/>
  <c r="I88" i="5"/>
  <c r="I62" i="5"/>
  <c r="I35" i="5"/>
  <c r="I30" i="5"/>
  <c r="I16" i="5"/>
  <c r="I19" i="5"/>
  <c r="I74" i="5"/>
  <c r="I55" i="5"/>
  <c r="I65" i="5"/>
  <c r="I24" i="5"/>
  <c r="I36" i="5"/>
  <c r="I64" i="5"/>
  <c r="I54" i="5"/>
  <c r="I60" i="5"/>
  <c r="I48" i="5"/>
  <c r="I38" i="5"/>
  <c r="I10" i="5"/>
  <c r="I46" i="5"/>
  <c r="I15" i="5"/>
  <c r="I93" i="5"/>
  <c r="I68" i="5"/>
  <c r="I9" i="5"/>
  <c r="I44" i="5"/>
  <c r="I2" i="5"/>
  <c r="I22" i="5"/>
  <c r="I78" i="5"/>
  <c r="I82" i="5"/>
  <c r="I92" i="5"/>
  <c r="I34" i="5"/>
  <c r="I49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47" i="5"/>
  <c r="E101" i="5"/>
  <c r="E55" i="5"/>
  <c r="E4" i="5"/>
  <c r="E84" i="5"/>
  <c r="E92" i="5"/>
  <c r="E24" i="5"/>
  <c r="E30" i="5"/>
  <c r="E45" i="5"/>
  <c r="E61" i="5"/>
  <c r="E54" i="5"/>
  <c r="E76" i="5"/>
  <c r="E56" i="5"/>
  <c r="E83" i="5"/>
  <c r="E94" i="5"/>
  <c r="E25" i="5"/>
  <c r="E77" i="5"/>
  <c r="E6" i="5"/>
  <c r="E98" i="5"/>
  <c r="E38" i="5"/>
  <c r="E62" i="5"/>
  <c r="E12" i="5"/>
  <c r="E97" i="5"/>
  <c r="E64" i="5"/>
  <c r="E16" i="5"/>
  <c r="E66" i="5"/>
  <c r="E51" i="5"/>
  <c r="E37" i="5"/>
  <c r="E75" i="5"/>
  <c r="E88" i="5"/>
  <c r="E32" i="5"/>
  <c r="E82" i="5"/>
  <c r="E99" i="5"/>
  <c r="E18" i="5"/>
  <c r="E8" i="5"/>
  <c r="E68" i="5"/>
  <c r="E9" i="5"/>
  <c r="E43" i="5"/>
  <c r="E70" i="5"/>
  <c r="E5" i="5"/>
  <c r="E87" i="5"/>
  <c r="E53" i="5"/>
  <c r="E11" i="5"/>
  <c r="E40" i="5"/>
  <c r="E17" i="5"/>
  <c r="E46" i="5"/>
  <c r="E29" i="5"/>
  <c r="E86" i="5"/>
  <c r="E15" i="5"/>
  <c r="E95" i="5"/>
  <c r="E78" i="5"/>
  <c r="E2" i="5"/>
  <c r="E81" i="5"/>
  <c r="E85" i="5"/>
  <c r="O46" i="5" l="1"/>
  <c r="P46" i="5" s="1" a="1"/>
  <c r="P46" i="5" s="1"/>
  <c r="K46" i="2" s="1" a="1"/>
  <c r="K46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94" i="5"/>
  <c r="P94" i="5" s="1" a="1"/>
  <c r="P94" i="5" s="1"/>
  <c r="K94" i="2" s="1" a="1"/>
  <c r="K94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95" i="5"/>
  <c r="P95" i="5" s="1" a="1"/>
  <c r="P95" i="5" s="1"/>
  <c r="K95" i="2" s="1" a="1"/>
  <c r="K95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55" i="5"/>
  <c r="P55" i="5" s="1" a="1"/>
  <c r="P55" i="5" s="1"/>
  <c r="K55" i="2" s="1" a="1"/>
  <c r="K55" i="2" s="1"/>
  <c r="O92" i="5"/>
  <c r="P92" i="5" s="1" a="1"/>
  <c r="P92" i="5" s="1"/>
  <c r="K92" i="2" s="1" a="1"/>
  <c r="K92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70" i="5"/>
  <c r="P70" i="5" s="1" a="1"/>
  <c r="P70" i="5" s="1"/>
  <c r="K70" i="2" s="1" a="1"/>
  <c r="K70" i="2" s="1"/>
  <c r="O15" i="5"/>
  <c r="P15" i="5" s="1" a="1"/>
  <c r="P15" i="5" s="1"/>
  <c r="K15" i="2" s="1" a="1"/>
  <c r="K15" i="2" s="1"/>
  <c r="O45" i="5"/>
  <c r="P45" i="5" s="1" a="1"/>
  <c r="P45" i="5" s="1"/>
  <c r="K45" i="2" s="1" a="1"/>
  <c r="K45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7" i="5"/>
  <c r="P47" i="5" s="1" a="1"/>
  <c r="P47" i="5" s="1"/>
  <c r="K47" i="2" s="1" a="1"/>
  <c r="K47" i="2" s="1"/>
  <c r="O62" i="5"/>
  <c r="P62" i="5" s="1" a="1"/>
  <c r="P62" i="5" s="1"/>
  <c r="K62" i="2" s="1" a="1"/>
  <c r="K62" i="2" s="1"/>
  <c r="O75" i="5"/>
  <c r="P75" i="5" s="1" a="1"/>
  <c r="P75" i="5" s="1"/>
  <c r="K75" i="2" s="1" a="1"/>
  <c r="K75" i="2" s="1"/>
  <c r="O54" i="5"/>
  <c r="P54" i="5" s="1" a="1"/>
  <c r="P54" i="5" s="1"/>
  <c r="K54" i="2" s="1" a="1"/>
  <c r="K54" i="2" s="1"/>
  <c r="O5" i="5"/>
  <c r="P5" i="5" s="1" a="1"/>
  <c r="P5" i="5" s="1"/>
  <c r="K5" i="2" s="1" a="1"/>
  <c r="K5" i="2" s="1"/>
  <c r="O16" i="5"/>
  <c r="P16" i="5" s="1" a="1"/>
  <c r="P16" i="5" s="1"/>
  <c r="K16" i="2" s="1" a="1"/>
  <c r="K16" i="2" s="1"/>
  <c r="O29" i="5"/>
  <c r="P29" i="5" s="1" a="1"/>
  <c r="P29" i="5" s="1"/>
  <c r="K29" i="2" s="1" a="1"/>
  <c r="K29" i="2" s="1"/>
  <c r="O88" i="5"/>
  <c r="P88" i="5" s="1" a="1"/>
  <c r="P88" i="5" s="1"/>
  <c r="K88" i="2" s="1" a="1"/>
  <c r="K88" i="2" s="1"/>
  <c r="O6" i="5"/>
  <c r="P6" i="5" s="1" a="1"/>
  <c r="P6" i="5" s="1"/>
  <c r="K6" i="2" s="1" a="1"/>
  <c r="K6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E59" i="5"/>
  <c r="E33" i="5"/>
  <c r="E23" i="5"/>
  <c r="E57" i="5"/>
  <c r="E58" i="5"/>
  <c r="E13" i="5"/>
  <c r="E96" i="5"/>
  <c r="E74" i="5"/>
  <c r="E3" i="5"/>
  <c r="E73" i="5"/>
  <c r="E72" i="5"/>
  <c r="E27" i="5"/>
  <c r="E36" i="5"/>
  <c r="E63" i="5"/>
  <c r="E79" i="5"/>
  <c r="E91" i="5"/>
  <c r="E41" i="5"/>
  <c r="E80" i="5"/>
  <c r="E22" i="5"/>
  <c r="E60" i="5"/>
  <c r="E19" i="5"/>
  <c r="E52" i="5"/>
  <c r="E26" i="5"/>
  <c r="E21" i="5"/>
  <c r="E89" i="5"/>
  <c r="E93" i="5"/>
  <c r="E65" i="5"/>
  <c r="E28" i="5"/>
  <c r="E39" i="5"/>
  <c r="E48" i="5"/>
  <c r="E31" i="5"/>
  <c r="E49" i="5"/>
  <c r="E69" i="5"/>
  <c r="E44" i="5"/>
  <c r="E10" i="5"/>
  <c r="E35" i="5"/>
  <c r="E20" i="5"/>
  <c r="E34" i="5"/>
  <c r="E7" i="5"/>
  <c r="E14" i="5"/>
  <c r="E67" i="5"/>
  <c r="E71" i="5"/>
  <c r="E50" i="5"/>
  <c r="E100" i="5"/>
  <c r="E42" i="5"/>
  <c r="E90" i="5"/>
  <c r="O74" i="5" l="1"/>
  <c r="P74" i="5" s="1" a="1"/>
  <c r="P74" i="5" s="1"/>
  <c r="K74" i="2" s="1" a="1"/>
  <c r="K74" i="2" s="1"/>
  <c r="O93" i="5"/>
  <c r="P93" i="5" s="1" a="1"/>
  <c r="P93" i="5" s="1"/>
  <c r="K93" i="2" s="1" a="1"/>
  <c r="K93" i="2" s="1"/>
  <c r="O49" i="5"/>
  <c r="P49" i="5" s="1" a="1"/>
  <c r="P49" i="5" s="1"/>
  <c r="K49" i="2" s="1" a="1"/>
  <c r="K49" i="2" s="1"/>
  <c r="O69" i="5"/>
  <c r="P69" i="5" s="1" a="1"/>
  <c r="P69" i="5" s="1"/>
  <c r="K69" i="2" s="1" a="1"/>
  <c r="K69" i="2" s="1"/>
  <c r="O52" i="5"/>
  <c r="P52" i="5" s="1" a="1"/>
  <c r="P52" i="5" s="1"/>
  <c r="K52" i="2" s="1" a="1"/>
  <c r="K52" i="2" s="1"/>
  <c r="O14" i="5"/>
  <c r="P14" i="5" s="1" a="1"/>
  <c r="P14" i="5" s="1"/>
  <c r="K14" i="2" s="1" a="1"/>
  <c r="K14" i="2" s="1"/>
  <c r="O59" i="5"/>
  <c r="P59" i="5" s="1" a="1"/>
  <c r="P59" i="5" s="1"/>
  <c r="K59" i="2" s="1" a="1"/>
  <c r="K59" i="2" s="1"/>
  <c r="O39" i="5"/>
  <c r="P39" i="5" s="1" a="1"/>
  <c r="P39" i="5" s="1"/>
  <c r="K39" i="2" s="1" a="1"/>
  <c r="K39" i="2" s="1"/>
  <c r="O36" i="5"/>
  <c r="P36" i="5" s="1" a="1"/>
  <c r="P36" i="5" s="1"/>
  <c r="K36" i="2" s="1" a="1"/>
  <c r="K3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1" i="5"/>
  <c r="P41" i="5" s="1" a="1"/>
  <c r="P41" i="5" s="1"/>
  <c r="K41" i="2" s="1" a="1"/>
  <c r="K41" i="2" s="1"/>
  <c r="O67" i="5"/>
  <c r="P67" i="5" s="1" a="1"/>
  <c r="P67" i="5" s="1"/>
  <c r="K67" i="2" s="1" a="1"/>
  <c r="K67" i="2" s="1"/>
  <c r="O31" i="5"/>
  <c r="P31" i="5" s="1" a="1"/>
  <c r="P31" i="5" s="1"/>
  <c r="K31" i="2" s="1" a="1"/>
  <c r="K31" i="2" s="1"/>
  <c r="O48" i="5"/>
  <c r="P48" i="5" s="1" a="1"/>
  <c r="P48" i="5" s="1"/>
  <c r="K48" i="2" s="1" a="1"/>
  <c r="K48" i="2" s="1"/>
  <c r="O100" i="5"/>
  <c r="P100" i="5" s="1" a="1"/>
  <c r="P100" i="5" s="1"/>
  <c r="K100" i="2" s="1" a="1"/>
  <c r="K100" i="2" s="1"/>
  <c r="O22" i="5"/>
  <c r="P22" i="5" s="1" a="1"/>
  <c r="P22" i="5" s="1"/>
  <c r="K22" i="2" s="1" a="1"/>
  <c r="K22" i="2" s="1"/>
  <c r="O19" i="5"/>
  <c r="P19" i="5" s="1" a="1"/>
  <c r="P19" i="5" s="1"/>
  <c r="K19" i="2" s="1" a="1"/>
  <c r="K19" i="2" s="1"/>
  <c r="O42" i="5"/>
  <c r="P42" i="5" s="1" a="1"/>
  <c r="P42" i="5" s="1"/>
  <c r="K42" i="2" s="1" a="1"/>
  <c r="K42" i="2" s="1"/>
  <c r="O10" i="5"/>
  <c r="P10" i="5" s="1" a="1"/>
  <c r="P10" i="5" s="1"/>
  <c r="K10" i="2" s="1" a="1"/>
  <c r="K10" i="2" s="1"/>
  <c r="O90" i="5"/>
  <c r="P90" i="5" s="1" a="1"/>
  <c r="P90" i="5" s="1"/>
  <c r="K90" i="2" s="1" a="1"/>
  <c r="K90" i="2" s="1"/>
  <c r="O50" i="5"/>
  <c r="P50" i="5" s="1" a="1"/>
  <c r="P50" i="5" s="1"/>
  <c r="K50" i="2" s="1" a="1"/>
  <c r="K50" i="2" s="1"/>
  <c r="O71" i="5"/>
  <c r="P71" i="5" s="1" a="1"/>
  <c r="P71" i="5" s="1"/>
  <c r="K71" i="2" s="1" a="1"/>
  <c r="K71" i="2" s="1"/>
  <c r="O63" i="5"/>
  <c r="P63" i="5" s="1" a="1"/>
  <c r="P63" i="5" s="1"/>
  <c r="K63" i="2" s="1" a="1"/>
  <c r="K63" i="2" s="1"/>
  <c r="O72" i="5"/>
  <c r="P72" i="5" s="1" a="1"/>
  <c r="P72" i="5" s="1"/>
  <c r="K72" i="2" s="1" a="1"/>
  <c r="K72" i="2" s="1"/>
  <c r="O57" i="5"/>
  <c r="P57" i="5" s="1" a="1"/>
  <c r="P57" i="5" s="1"/>
  <c r="K57" i="2" s="1" a="1"/>
  <c r="K57" i="2" s="1"/>
  <c r="O96" i="5"/>
  <c r="P96" i="5" s="1" a="1"/>
  <c r="P96" i="5" s="1"/>
  <c r="K96" i="2" s="1" a="1"/>
  <c r="K96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28" i="5"/>
  <c r="P28" i="5" s="1" a="1"/>
  <c r="P28" i="5" s="1"/>
  <c r="K28" i="2" s="1" a="1"/>
  <c r="K28" i="2" s="1"/>
  <c r="O34" i="5"/>
  <c r="P34" i="5" s="1" a="1"/>
  <c r="P34" i="5" s="1"/>
  <c r="K34" i="2" s="1" a="1"/>
  <c r="K34" i="2" s="1"/>
  <c r="O3" i="5"/>
  <c r="P3" i="5" s="1" a="1"/>
  <c r="P3" i="5" s="1"/>
  <c r="K3" i="2" s="1" a="1"/>
  <c r="K3" i="2" s="1"/>
  <c r="O13" i="5"/>
  <c r="P13" i="5" s="1" a="1"/>
  <c r="P13" i="5" s="1"/>
  <c r="K13" i="2" s="1" a="1"/>
  <c r="K13" i="2" s="1"/>
  <c r="O20" i="5"/>
  <c r="P20" i="5" s="1" a="1"/>
  <c r="P20" i="5" s="1"/>
  <c r="K20" i="2" s="1" a="1"/>
  <c r="K20" i="2" s="1"/>
  <c r="O27" i="5"/>
  <c r="P27" i="5" s="1" a="1"/>
  <c r="P27" i="5" s="1"/>
  <c r="K27" i="2" s="1" a="1"/>
  <c r="K27" i="2" s="1"/>
  <c r="O79" i="5"/>
  <c r="P79" i="5" s="1" a="1"/>
  <c r="P79" i="5" s="1"/>
  <c r="K79" i="2" s="1" a="1"/>
  <c r="K79" i="2" s="1"/>
  <c r="O35" i="5"/>
  <c r="P35" i="5" s="1" a="1"/>
  <c r="P35" i="5" s="1"/>
  <c r="K35" i="2" s="1" a="1"/>
  <c r="K35" i="2" s="1"/>
  <c r="O21" i="5"/>
  <c r="P21" i="5" s="1" a="1"/>
  <c r="P21" i="5" s="1"/>
  <c r="K21" i="2" s="1" a="1"/>
  <c r="K21" i="2" s="1"/>
  <c r="O33" i="5"/>
  <c r="P33" i="5" s="1" a="1"/>
  <c r="P33" i="5" s="1"/>
  <c r="K33" i="2" s="1" a="1"/>
  <c r="K33" i="2" s="1"/>
  <c r="O58" i="5"/>
  <c r="P58" i="5" s="1" a="1"/>
  <c r="P58" i="5" s="1"/>
  <c r="K58" i="2" s="1" a="1"/>
  <c r="K58" i="2" s="1"/>
  <c r="O7" i="5"/>
  <c r="P7" i="5" s="1" a="1"/>
  <c r="P7" i="5" s="1"/>
  <c r="K7" i="2" s="1" a="1"/>
  <c r="K7" i="2" s="1"/>
  <c r="O65" i="5"/>
  <c r="P65" i="5" s="1" a="1"/>
  <c r="P65" i="5" s="1"/>
  <c r="K65" i="2" s="1" a="1"/>
  <c r="K65" i="2" s="1"/>
  <c r="O89" i="5"/>
  <c r="P89" i="5" s="1" a="1"/>
  <c r="P89" i="5" s="1"/>
  <c r="K89" i="2" s="1" a="1"/>
  <c r="K89" i="2" s="1"/>
  <c r="O80" i="5"/>
  <c r="P80" i="5" s="1" a="1"/>
  <c r="P80" i="5" s="1"/>
  <c r="K80" i="2" s="1" a="1"/>
  <c r="K80" i="2" s="1"/>
  <c r="O44" i="5"/>
  <c r="P44" i="5" s="1" a="1"/>
  <c r="P44" i="5" s="1"/>
  <c r="K44" i="2" s="1" a="1"/>
  <c r="K44" i="2" s="1"/>
  <c r="O73" i="5"/>
  <c r="P73" i="5" s="1" a="1"/>
  <c r="P73" i="5" s="1"/>
  <c r="K73" i="2" s="1" a="1"/>
  <c r="K7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<sst xmlns="http://schemas.openxmlformats.org/spreadsheetml/2006/main" count="358" uniqueCount="264">
  <si>
    <t>^</t>
  </si>
  <si>
    <t>KANBAN</t>
  </si>
  <si>
    <t>COMPLETADO</t>
  </si>
  <si>
    <t>IMPORTANTE</t>
  </si>
  <si>
    <t>RQF-007 — Registrar producto manualmente</t>
  </si>
  <si>
    <t xml:space="preserve">El programa deberá permitir registrar productos manualmente mediante un formulario. Para incorporar al inventario productos que no hayan sido ingresados mediante escaneo.
</t>
  </si>
  <si>
    <t>Klever Jami</t>
  </si>
  <si>
    <t>RQF-008 — Validar datos y SKU.</t>
  </si>
  <si>
    <t>El programa deberá validar los campos obligatorios del formulario y comprobar que el SKU del producto no se encuentre repetido. Para mantener registros completos y evitar la duplicación de productos dentro del inventario.</t>
  </si>
  <si>
    <t>RQF-011 — Consultar inventario.</t>
  </si>
  <si>
    <t xml:space="preserve">El programa deberá mostrar una lista de los productos registrados en el inventario. Para consultar la información y el estado actual de las existencias.
</t>
  </si>
  <si>
    <t>RQF-012 — Buscar y filtrar inventario.</t>
  </si>
  <si>
    <t>El programa deberá permitir buscar, filtrar y ordenar los productos del inventario. Para localizar productos específicos y organizar la información según las necesidades del administrador.</t>
  </si>
  <si>
    <t>RQF-023 — Dar de baja un producto.</t>
  </si>
  <si>
    <t>El programa deberá permitir dar de baja un producto registrado. Para retirar del inventario principal los productos que ya no se encuentren disponibles.</t>
  </si>
  <si>
    <t>Lucas Góngora</t>
  </si>
  <si>
    <t>RQF-013 — Editar información del producto.</t>
  </si>
  <si>
    <t>El programa deberá permitir modificar la información de un producto registrado. Para mantener actualizados los datos disponibles en el inventario.</t>
  </si>
  <si>
    <t>RQF-014 — Cancelar edición del producto</t>
  </si>
  <si>
    <t>El programa deberá permitir cancelar la edición de un producto antes de guardar los cambios. Para conservar la información original cuando el administrador decida abandonar la modificación.</t>
  </si>
  <si>
    <t>RQF-024 —  Confirmar baja del producto</t>
  </si>
  <si>
    <t>El programa deberá permitir eliminar de forma lógica un producto</t>
  </si>
  <si>
    <t>Jordy Viscaino</t>
  </si>
  <si>
    <t>EN PROGRESO</t>
  </si>
  <si>
    <t>RQF-001 - Validar credenciales de acceso</t>
  </si>
  <si>
    <t xml:space="preserve">El programa deberá permitir al administrador iniciar sesión mediante correo electrónico y contraseña. Para controlar el acceso a las funciones y a la información registrada en PaperBoost.
</t>
  </si>
  <si>
    <t>RQF-009 — Generar nota de venta</t>
  </si>
  <si>
    <t>El programa deberá permitir generar una nota de venta mediante la selección de productos y cantidades. Para registrar las ventas realizadas y calcular automáticamente los valores de la transacción.</t>
  </si>
  <si>
    <t>RQF-010 — Validar stock de la venta</t>
  </si>
  <si>
    <t>El programa deberá verificar el stock disponible antes de confirmar una venta. Para impedir que se registren cantidades superiores a las existencias disponibles.</t>
  </si>
  <si>
    <t>RQF-002 — Almacenamiento de credenciales de usuario</t>
  </si>
  <si>
    <t>El programa debe almacenar las credenciales de los usuarios y utilizarlas para autenticar su identidad durante el inicio de sesión.</t>
  </si>
  <si>
    <t>POR HACER</t>
  </si>
  <si>
    <t>NORMAL</t>
  </si>
  <si>
    <t>RQF-015 — Configurar stock mínimo</t>
  </si>
  <si>
    <t>El programa deberá permitir configurar una cantidad mínima de existencias para cada producto. Para determinar cuándo un producto debe considerarse próximo a agotarse.</t>
  </si>
  <si>
    <t>RQF-019 — Consultar historial de ventas</t>
  </si>
  <si>
    <t>El programa deberá mostrar el historial de las ventas registradas. Para consultar las transacciones realizadas y dar seguimiento a las operaciones del negocio.</t>
  </si>
  <si>
    <t>RQF-022 — Notificar alertas de stock</t>
  </si>
  <si>
    <t>El programa deberá notificar sobre stock bajo</t>
  </si>
  <si>
    <t>RQF-020 — Buscar y consultar detalle de venta</t>
  </si>
  <si>
    <t>El programa deberá mostrar el detalle de cada venta por separado</t>
  </si>
  <si>
    <t>RQF-021 — Visualizar inventario crítico</t>
  </si>
  <si>
    <t>El programa deberá mostrar de forma diferente productos con bajo stock</t>
  </si>
  <si>
    <t>RQF-005 —  Registrar producto por escaneo</t>
  </si>
  <si>
    <t>Implementar una ventana que permita registrar un producto en el inventario mediante el escaneo de su código de barras o QR, capturando automáticamente el código y permitiendo completar los datos restantes.</t>
  </si>
  <si>
    <t>RQF-006 — Confirmar producto escaneado</t>
  </si>
  <si>
    <t>Implementar una pantalla de confirmación que muestre los datos del producto escaneado antes de guardarlo en el inventario, permitiendo al usuario verificar o corregir la información capturada.</t>
  </si>
  <si>
    <t>RQF-003 — Sincronizar datos automáticamente</t>
  </si>
  <si>
    <t>El programa deberá sinronizar los datos en local con los datos en la nube</t>
  </si>
  <si>
    <t>RQF-004 — Sincronización asíncrona con progreso</t>
  </si>
  <si>
    <t>EL programa deberá poder sincronizar la información en base a periodos de tiempo</t>
  </si>
  <si>
    <t>RQF-017 — Recuperar datos desde la nube</t>
  </si>
  <si>
    <t>El programa deberá obtener los datos de la nube de forma periódica</t>
  </si>
  <si>
    <t>RQF-018 — Restaurar datos con progreso y reintentos</t>
  </si>
  <si>
    <t>El programa deberá garantizar atomicidad y reintento en una transacción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</si>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</sst>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242424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12" activePane="bottomLeft" state="frozen"/>
      <selection pane="bottomLeft" activeCell="H19" sqref="H19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10" t="str">
        <f ca="1">Configura!$B$2</f>
        <v xml:space="preserve">                Tablero KANBAN v3 ©️            </v>
      </c>
      <c r="C2" s="110"/>
      <c r="D2" s="110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23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44562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(11 de 23)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(4 de 23)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23)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(8 de 23)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23)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23)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23)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23)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23)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23)</v>
      </c>
      <c r="AW4" s="109"/>
      <c r="AX4" s="109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23: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RQF-018 — Restaurar datos con progreso y reintentos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12: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RQF-002 — Almacenamiento de credenciales de usuario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RQF-024 —  Confirmar baja del producto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El programa deberá garantizar atomicidad y reintento en una transacción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El programa debe almacenar las credenciales de los usuarios y utilizarlas para autenticar su identidad durante el inicio de sesión.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El programa deberá permitir eliminar de forma lógica un producto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46226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46204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46196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46234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46215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46196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46197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Jordy Viscaino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Jordy Viscaino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Jordy Viscaino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22: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RQF-017 — Recuperar datos desde la nube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11: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RQF-010 — Validar stock de la venta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RQF-014 — Cancelar edición del producto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El programa deberá obtener los datos de la nube de forma periódica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El programa deberá verificar el stock disponible antes de confirmar una venta. Para impedir que se registren cantidades superiores a las existencias disponibles.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El programa deberá permitir cancelar la edición de un producto antes de guardar los cambios. Para conservar la información original cuando el administrador decida abandonar la modificación.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46226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46208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46191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46231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46212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46191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46191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Jordy Viscaino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Jordy Viscaino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Klever Jami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21: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RQF-004 — Sincronización asíncrona con progreso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10:</v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RQF-009 — Generar nota de venta</v>
      </c>
      <c r="J24" s="107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RQF-013 — Editar información del producto.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EL programa deberá poder sincronizar la información en base a periodos de tiempo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El programa deberá permitir generar una nota de venta mediante la selección de productos y cantidades. Para registrar las ventas realizadas y calcular automáticamente los valores de la transacción.</v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programa deberá permitir modificar la información de un producto registrado. Para mantener actualizados los datos disponibles en el inventario.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46224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46204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46191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46229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7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46208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46192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7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0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46193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Klever Jami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Jordy Viscaino</v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Klever Jami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20:</v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RQF-003 — Sincronizar datos automáticamente</v>
      </c>
      <c r="E33" s="107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9:</v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RQF-001 - Validar credenciales de acceso</v>
      </c>
      <c r="J33" s="107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RQF-023 — Dar de baja un producto.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El programa deberá sinronizar los datos en local con los datos en la nube</v>
      </c>
      <c r="E34" s="107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 xml:space="preserve">El programa deberá permitir al administrador iniciar sesión mediante correo electrónico y contraseña. Para controlar el acceso a las funciones y a la información registrada en PaperBoost.
</v>
      </c>
      <c r="J34" s="107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 programa deberá permitir dar de baja un producto registrado. Para retirar del inventario principal los productos que ya no se encuentren disponibles.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7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46224</v>
      </c>
      <c r="E35" s="107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7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46204</v>
      </c>
      <c r="J35" s="107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46189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7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46228</v>
      </c>
      <c r="E36" s="107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7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46210</v>
      </c>
      <c r="J36" s="107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7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0</v>
      </c>
      <c r="E37" s="107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7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0</v>
      </c>
      <c r="J37" s="107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46191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Lucas Góngora</v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Jordy Viscaino</v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Lucas Góngora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19:</v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RQF-006 — Confirmar producto escaneado</v>
      </c>
      <c r="E42" s="107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RQF-012 — Buscar y filtrar inventario.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Implementar una pantalla de confirmación que muestre los datos del producto escaneado antes de guardarlo en el inventario, permitiendo al usuario verificar o corregir la información capturada.</v>
      </c>
      <c r="E43" s="107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programa deberá permitir buscar, filtrar y ordenar los productos del inventario. Para localizar productos específicos y organizar la información según las necesidades del administrador.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7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46224</v>
      </c>
      <c r="E44" s="107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7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46226</v>
      </c>
      <c r="E45" s="107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46189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7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0</v>
      </c>
      <c r="E46" s="107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46189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Jordy Viscaino</v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Klever Jami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18:</v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RQF-005 —  Registrar producto por escaneo</v>
      </c>
      <c r="E51" s="107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RQF-011 — Consultar inventario.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Implementar una ventana que permita registrar un producto en el inventario mediante el escaneo de su código de barras o QR, capturando automáticamente el código y permitiendo completar los datos restantes.</v>
      </c>
      <c r="E52" s="107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programa deberá mostrar una lista de los productos registrados en el inventario. Para consultar la información y el estado actual de las existencias.
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7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46224</v>
      </c>
      <c r="E53" s="107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46183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7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46226</v>
      </c>
      <c r="E54" s="107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46185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7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0</v>
      </c>
      <c r="E55" s="107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46188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6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3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Klever Jami</v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Klever Jami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17:</v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RQF-021 — Visualizar inventario crítico</v>
      </c>
      <c r="E60" s="107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RQF-008 — Validar datos y SKU.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El programa deberá mostrar de forma diferente productos con bajo stock</v>
      </c>
      <c r="E61" s="107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El programa deberá validar los campos obligatorios del formulario y comprobar que el SKU del producto no se encuentre repetido. Para mantener registros completos y evitar la duplicación de productos dentro del inventario.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07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46218</v>
      </c>
      <c r="E62" s="107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07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46222</v>
      </c>
      <c r="E63" s="107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46181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07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0</v>
      </c>
      <c r="E64" s="107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46183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2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Jordy Viscaino</v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Klever Jami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16:</v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RQF-020 — Buscar y consultar detalle de venta</v>
      </c>
      <c r="E69" s="107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RQF-007 — Registrar producto manualmente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El programa deberá mostrar el detalle de cada venta por separado</v>
      </c>
      <c r="E70" s="107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El programa deberá permitir registrar productos manualmente mediante un formulario. Para incorporar al inventario productos que no hayan sido ingresados mediante escaneo.
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07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46218</v>
      </c>
      <c r="E71" s="107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46178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07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46221</v>
      </c>
      <c r="E72" s="107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07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0</v>
      </c>
      <c r="E73" s="107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46179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Jordy Viscaino</v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Klever Jami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15:</v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RQF-022 — Notificar alertas de stock</v>
      </c>
      <c r="E78" s="107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7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El programa deberá notificar sobre stock bajo</v>
      </c>
      <c r="E79" s="107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7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07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46218</v>
      </c>
      <c r="E80" s="107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7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7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07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46221</v>
      </c>
      <c r="E81" s="107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7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7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07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0</v>
      </c>
      <c r="E82" s="107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7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7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7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7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Jordy Viscaino</v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e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>#VALUE!</v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>Tarea 14:</v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>RQF-019 — Consultar historial de ventas</v>
      </c>
      <c r="E87" s="107" t="e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>#VALUE!</v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>Descripción:</v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>El programa deberá mostrar el historial de las ventas registradas. Para consultar las transacciones realizadas y dar seguimiento a las operaciones del negocio.</v>
      </c>
      <c r="E88" s="107" t="e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>#VALUE!</v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>Inicio:</v>
      </c>
      <c r="D89" s="107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>46218</v>
      </c>
      <c r="E89" s="107" t="e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>#VALUE!</v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>Previsto:</v>
      </c>
      <c r="D90" s="107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>46221</v>
      </c>
      <c r="E90" s="107" t="e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>#VALUE!</v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>Final:</v>
      </c>
      <c r="D91" s="107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>0</v>
      </c>
      <c r="E91" s="107" t="e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>#VALUE!</v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>Duración:</v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e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>#VALUE!</v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>Retraso:</v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e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>#VALUE!</v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>Asignado:</v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>Jordy Viscaino</v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e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>#VALUE!</v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>Tarea 13:</v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>RQF-015 — Configurar stock mínimo</v>
      </c>
      <c r="E96" s="107" t="e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>#VALUE!</v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>Descripción:</v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>El programa deberá permitir configurar una cantidad mínima de existencias para cada producto. Para determinar cuándo un producto debe considerarse próximo a agotarse.</v>
      </c>
      <c r="E97" s="107" t="e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>#VALUE!</v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>Inicio:</v>
      </c>
      <c r="D98" s="107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>46217</v>
      </c>
      <c r="E98" s="107" t="e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>#VALUE!</v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>Previsto:</v>
      </c>
      <c r="D99" s="107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>46217</v>
      </c>
      <c r="E99" s="107" t="e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>#VALUE!</v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>Final:</v>
      </c>
      <c r="D100" s="107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>0</v>
      </c>
      <c r="E100" s="107" t="e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>#VALUE!</v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>Duración:</v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e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>#VALUE!</v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>Retraso:</v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e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>#VALUE!</v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>Asignado:</v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>Lucas Góngora</v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11" activePane="bottomLeft" state="frozen"/>
      <selection pane="bottomLeft" activeCell="A14" sqref="A14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121.5">
      <c r="A2" s="91" t="s">
        <v>2</v>
      </c>
      <c r="B2" s="92" t="s">
        <v>3</v>
      </c>
      <c r="C2" s="102" t="s">
        <v>4</v>
      </c>
      <c r="D2" s="102" t="s">
        <v>5</v>
      </c>
      <c r="E2" s="103">
        <v>46178</v>
      </c>
      <c r="F2" s="93">
        <v>46178</v>
      </c>
      <c r="G2" s="93">
        <v>46179</v>
      </c>
      <c r="H2" s="43" t="str">
        <f ca="1"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06.5">
      <c r="A3" s="94" t="s">
        <v>2</v>
      </c>
      <c r="B3" s="95" t="s">
        <v>3</v>
      </c>
      <c r="C3" s="95" t="s">
        <v>7</v>
      </c>
      <c r="D3" s="104" t="s">
        <v>8</v>
      </c>
      <c r="E3" s="105">
        <v>46179</v>
      </c>
      <c r="F3" s="96">
        <v>46181</v>
      </c>
      <c r="G3" s="96">
        <v>46183</v>
      </c>
      <c r="H3" s="45" t="str">
        <f ca="1"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2 días</v>
      </c>
      <c r="J3" s="95" t="s">
        <v>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1.5">
      <c r="A4" s="91" t="s">
        <v>2</v>
      </c>
      <c r="B4" s="92" t="s">
        <v>3</v>
      </c>
      <c r="C4" s="92" t="s">
        <v>9</v>
      </c>
      <c r="D4" s="102" t="s">
        <v>10</v>
      </c>
      <c r="E4" s="103">
        <v>46183</v>
      </c>
      <c r="F4" s="93">
        <v>46185</v>
      </c>
      <c r="G4" s="93">
        <v>46188</v>
      </c>
      <c r="H4" s="43" t="str">
        <f ca="1">IF(Datos!$G4&gt;0,Datos!$G4-Datos!$E4+1 &amp; " " &amp; Idiomas!$A$29,"")</f>
        <v>6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3 días</v>
      </c>
      <c r="J4" s="92" t="s">
        <v>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>
      <c r="A5" s="94" t="s">
        <v>2</v>
      </c>
      <c r="B5" s="95" t="s">
        <v>3</v>
      </c>
      <c r="C5" s="95" t="s">
        <v>11</v>
      </c>
      <c r="D5" s="95" t="s">
        <v>12</v>
      </c>
      <c r="E5" s="96">
        <v>46189</v>
      </c>
      <c r="F5" s="96">
        <v>46189</v>
      </c>
      <c r="G5" s="96">
        <v>46189</v>
      </c>
      <c r="H5" s="45" t="str">
        <f ca="1"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>
      <c r="A6" s="91" t="s">
        <v>2</v>
      </c>
      <c r="B6" s="92" t="s">
        <v>3</v>
      </c>
      <c r="C6" s="92" t="s">
        <v>13</v>
      </c>
      <c r="D6" s="92" t="s">
        <v>14</v>
      </c>
      <c r="E6" s="93">
        <v>46189</v>
      </c>
      <c r="F6" s="93">
        <v>46190</v>
      </c>
      <c r="G6" s="93">
        <v>46191</v>
      </c>
      <c r="H6" s="43" t="str">
        <f ca="1"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15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>
      <c r="A7" s="94" t="s">
        <v>2</v>
      </c>
      <c r="B7" s="95" t="s">
        <v>3</v>
      </c>
      <c r="C7" s="95" t="s">
        <v>16</v>
      </c>
      <c r="D7" s="95" t="s">
        <v>17</v>
      </c>
      <c r="E7" s="96">
        <v>46191</v>
      </c>
      <c r="F7" s="96">
        <v>46192</v>
      </c>
      <c r="G7" s="96">
        <v>46193</v>
      </c>
      <c r="H7" s="45" t="str">
        <f ca="1"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>
      <c r="A8" s="91" t="s">
        <v>2</v>
      </c>
      <c r="B8" s="92" t="s">
        <v>3</v>
      </c>
      <c r="C8" s="92" t="s">
        <v>18</v>
      </c>
      <c r="D8" s="92" t="s">
        <v>19</v>
      </c>
      <c r="E8" s="93">
        <v>46191</v>
      </c>
      <c r="F8" s="93">
        <v>46191</v>
      </c>
      <c r="G8" s="93">
        <v>46191</v>
      </c>
      <c r="H8" s="43" t="str">
        <f ca="1"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>
      <c r="A9" s="94" t="s">
        <v>2</v>
      </c>
      <c r="B9" s="95" t="s">
        <v>3</v>
      </c>
      <c r="C9" s="95" t="s">
        <v>20</v>
      </c>
      <c r="D9" s="95" t="s">
        <v>21</v>
      </c>
      <c r="E9" s="96">
        <v>46196</v>
      </c>
      <c r="F9" s="96">
        <v>46196</v>
      </c>
      <c r="G9" s="96">
        <v>46197</v>
      </c>
      <c r="H9" s="45" t="str">
        <f ca="1"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21.5">
      <c r="A10" s="91" t="s">
        <v>23</v>
      </c>
      <c r="B10" s="92" t="s">
        <v>3</v>
      </c>
      <c r="C10" s="92" t="s">
        <v>24</v>
      </c>
      <c r="D10" s="102" t="s">
        <v>25</v>
      </c>
      <c r="E10" s="93">
        <v>46204</v>
      </c>
      <c r="F10" s="93">
        <v>46210</v>
      </c>
      <c r="G10" s="93"/>
      <c r="H10" s="43" t="str">
        <f ca="1">IF(Datos!$G10&gt;0,Datos!$G10-Datos!$E10+1 &amp; " " &amp; Idiomas!$A$29,"")</f>
        <v/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/>
      </c>
      <c r="J10" s="92" t="s">
        <v>22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>
      <c r="A11" s="94" t="s">
        <v>23</v>
      </c>
      <c r="B11" s="95" t="s">
        <v>3</v>
      </c>
      <c r="C11" s="95" t="s">
        <v>26</v>
      </c>
      <c r="D11" s="95" t="s">
        <v>27</v>
      </c>
      <c r="E11" s="97">
        <v>46204</v>
      </c>
      <c r="F11" s="96">
        <v>46208</v>
      </c>
      <c r="G11" s="96"/>
      <c r="H11" s="45" t="str">
        <f ca="1">IF(Datos!$G11&gt;0,Datos!$G11-Datos!$E11+1 &amp; " " &amp; Idiomas!$A$29,"")</f>
        <v/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/>
      </c>
      <c r="J11" s="95" t="s">
        <v>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>
      <c r="A12" s="91" t="s">
        <v>23</v>
      </c>
      <c r="B12" s="92" t="s">
        <v>3</v>
      </c>
      <c r="C12" s="92" t="s">
        <v>28</v>
      </c>
      <c r="D12" s="92" t="s">
        <v>29</v>
      </c>
      <c r="E12" s="98">
        <v>46208</v>
      </c>
      <c r="F12" s="93">
        <v>46212</v>
      </c>
      <c r="G12" s="93"/>
      <c r="H12" s="43" t="str">
        <f ca="1">IF(Datos!$G12&gt;0,Datos!$G12-Datos!$E12+1 &amp; " " &amp; Idiomas!$A$29,"")</f>
        <v/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/>
      </c>
      <c r="J12" s="92" t="s">
        <v>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76.5">
      <c r="A13" s="94" t="s">
        <v>23</v>
      </c>
      <c r="B13" s="95" t="s">
        <v>3</v>
      </c>
      <c r="C13" s="95" t="s">
        <v>30</v>
      </c>
      <c r="D13" s="104" t="s">
        <v>31</v>
      </c>
      <c r="E13" s="96">
        <v>46204</v>
      </c>
      <c r="F13" s="96">
        <v>46215</v>
      </c>
      <c r="G13" s="96"/>
      <c r="H13" s="45" t="str">
        <f ca="1">IF(Datos!$G13&gt;0,Datos!$G13-Datos!$E13+1 &amp; " " &amp; Idiomas!$A$29,"")</f>
        <v/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/>
      </c>
      <c r="J13" s="95" t="s">
        <v>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91.5">
      <c r="A14" s="91" t="s">
        <v>32</v>
      </c>
      <c r="B14" s="92" t="s">
        <v>33</v>
      </c>
      <c r="C14" s="92" t="s">
        <v>34</v>
      </c>
      <c r="D14" s="102" t="s">
        <v>35</v>
      </c>
      <c r="E14" s="93">
        <v>46217</v>
      </c>
      <c r="F14" s="93">
        <v>46217</v>
      </c>
      <c r="G14" s="93"/>
      <c r="H14" s="43" t="str">
        <f ca="1">IF(Datos!$G14&gt;0,Datos!$G14-Datos!$E14+1 &amp; " " &amp; Idiomas!$A$29,"")</f>
        <v/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/>
      </c>
      <c r="J14" s="92" t="s">
        <v>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>
      <c r="A15" s="94" t="s">
        <v>32</v>
      </c>
      <c r="B15" s="95" t="s">
        <v>33</v>
      </c>
      <c r="C15" s="95" t="s">
        <v>36</v>
      </c>
      <c r="D15" s="95" t="s">
        <v>37</v>
      </c>
      <c r="E15" s="96">
        <v>46218</v>
      </c>
      <c r="F15" s="96">
        <v>46221</v>
      </c>
      <c r="G15" s="96"/>
      <c r="H15" s="45" t="str">
        <f ca="1">IF(Datos!$G15&gt;0,Datos!$G15-Datos!$E15+1 &amp; " " &amp; Idiomas!$A$29,"")</f>
        <v/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/>
      </c>
      <c r="J15" s="95" t="s">
        <v>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">
      <c r="A16" s="91" t="s">
        <v>32</v>
      </c>
      <c r="B16" s="92" t="s">
        <v>33</v>
      </c>
      <c r="C16" s="92" t="s">
        <v>38</v>
      </c>
      <c r="D16" s="92" t="s">
        <v>39</v>
      </c>
      <c r="E16" s="93">
        <v>46218</v>
      </c>
      <c r="F16" s="93">
        <v>46221</v>
      </c>
      <c r="G16" s="93"/>
      <c r="H16" s="43" t="str">
        <f ca="1">IF(Datos!$G16&gt;0,Datos!$G16-Datos!$E16+1 &amp; " " &amp; Idiomas!$A$29,"")</f>
        <v/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/>
      </c>
      <c r="J16" s="92" t="s">
        <v>22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>
      <c r="A17" s="94" t="s">
        <v>32</v>
      </c>
      <c r="B17" s="95" t="s">
        <v>33</v>
      </c>
      <c r="C17" s="95" t="s">
        <v>40</v>
      </c>
      <c r="D17" s="95" t="s">
        <v>41</v>
      </c>
      <c r="E17" s="96">
        <v>46218</v>
      </c>
      <c r="F17" s="96">
        <v>46221</v>
      </c>
      <c r="G17" s="96"/>
      <c r="H17" s="45" t="str">
        <f ca="1">IF(Datos!$G17&gt;0,Datos!$G17-Datos!$E17+1 &amp; " " &amp; Idiomas!$A$29,"")</f>
        <v/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/>
      </c>
      <c r="J17" s="95" t="s">
        <v>22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">
      <c r="A18" s="91" t="s">
        <v>32</v>
      </c>
      <c r="B18" s="92" t="s">
        <v>33</v>
      </c>
      <c r="C18" s="92" t="s">
        <v>42</v>
      </c>
      <c r="D18" s="92" t="s">
        <v>43</v>
      </c>
      <c r="E18" s="93">
        <v>46218</v>
      </c>
      <c r="F18" s="93">
        <v>46222</v>
      </c>
      <c r="G18" s="106"/>
      <c r="H18" s="43" t="str">
        <f ca="1">IF(Datos!$G18&gt;0,Datos!$G18-Datos!$E18+1 &amp; " " &amp; Idiomas!$A$29,"")</f>
        <v/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/>
      </c>
      <c r="J18" s="92" t="s">
        <v>22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>
      <c r="A19" s="94" t="s">
        <v>32</v>
      </c>
      <c r="B19" s="95" t="s">
        <v>33</v>
      </c>
      <c r="C19" s="95" t="s">
        <v>44</v>
      </c>
      <c r="D19" s="95" t="s">
        <v>45</v>
      </c>
      <c r="E19" s="96">
        <v>46224</v>
      </c>
      <c r="F19" s="96">
        <v>46226</v>
      </c>
      <c r="G19" s="96"/>
      <c r="H19" s="45" t="str">
        <f ca="1">IF(Datos!$G19&gt;0,Datos!$G19-Datos!$E19+1 &amp; " " &amp; Idiomas!$A$29,"")</f>
        <v/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/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>
      <c r="A20" s="91" t="s">
        <v>32</v>
      </c>
      <c r="B20" s="92" t="s">
        <v>33</v>
      </c>
      <c r="C20" s="92" t="s">
        <v>46</v>
      </c>
      <c r="D20" s="92" t="s">
        <v>47</v>
      </c>
      <c r="E20" s="93">
        <v>46224</v>
      </c>
      <c r="F20" s="93">
        <v>46226</v>
      </c>
      <c r="G20" s="93"/>
      <c r="H20" s="43" t="str">
        <f ca="1">IF(Datos!$G20&gt;0,Datos!$G20-Datos!$E20+1 &amp; " " &amp; Idiomas!$A$29,"")</f>
        <v/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/>
      </c>
      <c r="J20" s="92" t="s">
        <v>22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>
      <c r="A21" s="94" t="s">
        <v>32</v>
      </c>
      <c r="B21" s="95" t="s">
        <v>33</v>
      </c>
      <c r="C21" s="95" t="s">
        <v>48</v>
      </c>
      <c r="D21" s="95" t="s">
        <v>49</v>
      </c>
      <c r="E21" s="96">
        <v>46224</v>
      </c>
      <c r="F21" s="96">
        <v>46228</v>
      </c>
      <c r="G21" s="96"/>
      <c r="H21" s="45" t="str">
        <f ca="1">IF(Datos!$G21&gt;0,Datos!$G21-Datos!$E21+1 &amp; " " &amp; Idiomas!$A$29,"")</f>
        <v/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/>
      </c>
      <c r="J21" s="95" t="s">
        <v>15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>
      <c r="A22" s="91" t="s">
        <v>32</v>
      </c>
      <c r="B22" s="92" t="s">
        <v>33</v>
      </c>
      <c r="C22" s="92" t="s">
        <v>50</v>
      </c>
      <c r="D22" s="92" t="s">
        <v>51</v>
      </c>
      <c r="E22" s="93">
        <v>46224</v>
      </c>
      <c r="F22" s="93">
        <v>46229</v>
      </c>
      <c r="G22" s="93"/>
      <c r="H22" s="43" t="str">
        <f ca="1">IF(Datos!$G22&gt;0,Datos!$G22-Datos!$E22+1 &amp; " " &amp; Idiomas!$A$29,"")</f>
        <v/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>
      <c r="A23" s="94" t="s">
        <v>32</v>
      </c>
      <c r="B23" s="95" t="s">
        <v>33</v>
      </c>
      <c r="C23" s="95" t="s">
        <v>52</v>
      </c>
      <c r="D23" s="95" t="s">
        <v>53</v>
      </c>
      <c r="E23" s="96">
        <v>46226</v>
      </c>
      <c r="F23" s="96">
        <v>46231</v>
      </c>
      <c r="G23" s="96"/>
      <c r="H23" s="45" t="str">
        <f ca="1">IF(Datos!$G23&gt;0,Datos!$G23-Datos!$E23+1 &amp; " " &amp; Idiomas!$A$29,"")</f>
        <v/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/>
      </c>
      <c r="J23" s="95" t="s">
        <v>22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">
      <c r="A24" s="91" t="s">
        <v>32</v>
      </c>
      <c r="B24" s="92" t="s">
        <v>33</v>
      </c>
      <c r="C24" s="92" t="s">
        <v>54</v>
      </c>
      <c r="D24" s="92" t="s">
        <v>55</v>
      </c>
      <c r="E24" s="93">
        <v>46226</v>
      </c>
      <c r="F24" s="106">
        <v>46234</v>
      </c>
      <c r="G24" s="93"/>
      <c r="H24" s="43" t="str">
        <f ca="1">IF(Datos!$G24&gt;0,Datos!$G24-Datos!$E24+1 &amp; " " &amp; Idiomas!$A$29,"")</f>
        <v/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/>
      </c>
      <c r="J24" s="92" t="s">
        <v>22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>
      <c r="A25" s="94"/>
      <c r="B25" s="95"/>
      <c r="C25" s="95"/>
      <c r="D25" s="95"/>
      <c r="E25" s="96"/>
      <c r="F25" s="96"/>
      <c r="G25" s="96"/>
      <c r="H25" s="45" t="str">
        <f ca="1">IF(Datos!$G25&gt;0,Datos!$G25-Datos!$E25+1 &amp; " " &amp; Idiomas!$A$29,"")</f>
        <v/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>
      <c r="A26" s="91"/>
      <c r="B26" s="92"/>
      <c r="C26" s="92"/>
      <c r="D26" s="92"/>
      <c r="E26" s="93"/>
      <c r="F26" s="93"/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>
      <c r="A27" s="94"/>
      <c r="B27" s="95"/>
      <c r="C27" s="95"/>
      <c r="D27" s="95"/>
      <c r="E27" s="96"/>
      <c r="F27" s="96"/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>
      <c r="A28" s="91"/>
      <c r="B28" s="92"/>
      <c r="C28" s="92"/>
      <c r="D28" s="92"/>
      <c r="E28" s="93"/>
      <c r="F28" s="93"/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>
      <c r="A29" s="94"/>
      <c r="B29" s="95"/>
      <c r="C29" s="95"/>
      <c r="D29" s="95"/>
      <c r="E29" s="96"/>
      <c r="F29" s="96"/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>
      <c r="A30" s="91"/>
      <c r="B30" s="92"/>
      <c r="C30" s="92"/>
      <c r="D30" s="92"/>
      <c r="E30" s="93"/>
      <c r="F30" s="93"/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>
      <c r="A31" s="94"/>
      <c r="B31" s="95"/>
      <c r="C31" s="95"/>
      <c r="D31" s="95"/>
      <c r="E31" s="96"/>
      <c r="F31" s="96"/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>
      <c r="A32" s="91"/>
      <c r="B32" s="92"/>
      <c r="C32" s="92"/>
      <c r="D32" s="92"/>
      <c r="E32" s="93"/>
      <c r="F32" s="93"/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95"/>
      <c r="D33" s="95"/>
      <c r="E33" s="96"/>
      <c r="F33" s="96"/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92"/>
      <c r="D34" s="92"/>
      <c r="E34" s="93"/>
      <c r="F34" s="93"/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95"/>
      <c r="D35" s="95"/>
      <c r="E35" s="96"/>
      <c r="F35" s="96"/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92"/>
      <c r="D36" s="92"/>
      <c r="E36" s="93"/>
      <c r="F36" s="93"/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95"/>
      <c r="D37" s="95"/>
      <c r="E37" s="96"/>
      <c r="F37" s="96"/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92"/>
      <c r="D38" s="92"/>
      <c r="E38" s="93"/>
      <c r="F38" s="93"/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/>
      <c r="B85" s="95"/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9"/>
      <c r="B101" s="100"/>
      <c r="C101" s="100"/>
      <c r="D101" s="100"/>
      <c r="E101" s="101"/>
      <c r="F101" s="101"/>
      <c r="G101" s="101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G19:G101 G2:G17 E2:E101 F2:F23 F25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10" t="str">
        <f ca="1">"                " &amp; Idiomas!$A$2 &amp; " v3 ©️            "</f>
        <v xml:space="preserve">                Tablero KANBAN v3 ©️            </v>
      </c>
      <c r="C2" s="110"/>
      <c r="E2" s="7" t="s">
        <v>56</v>
      </c>
      <c r="F2" s="114" t="str">
        <f ca="1">Idiomas!$A$2 &amp; " | #ExcelPedroWave"</f>
        <v>Tablero KANBAN | #ExcelPedroWave</v>
      </c>
      <c r="G2" s="114"/>
      <c r="H2" s="114"/>
    </row>
    <row r="3" spans="2:9" ht="15" customHeight="1">
      <c r="E3" s="8" t="s">
        <v>57</v>
      </c>
      <c r="F3" s="114" t="s">
        <v>58</v>
      </c>
      <c r="G3" s="114"/>
      <c r="H3" s="114"/>
    </row>
    <row r="4" spans="2:9">
      <c r="B4" s="89" t="str">
        <f ca="1">Idiomas!$A$3</f>
        <v>Idioma</v>
      </c>
      <c r="E4" s="8" t="s">
        <v>59</v>
      </c>
      <c r="F4" s="115" t="s">
        <v>60</v>
      </c>
      <c r="G4" s="115"/>
      <c r="H4" s="115"/>
    </row>
    <row r="5" spans="2:9" ht="15" customHeight="1">
      <c r="B5" s="90" t="s">
        <v>61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62</v>
      </c>
    </row>
    <row r="9" spans="2:9">
      <c r="B9" s="75" t="s">
        <v>32</v>
      </c>
      <c r="D9" s="72" t="s">
        <v>63</v>
      </c>
      <c r="F9" s="68" t="s">
        <v>15</v>
      </c>
      <c r="H9" s="66" t="str">
        <f ca="1">Idiomas!$A$12</f>
        <v>Tarea</v>
      </c>
      <c r="I9" s="85">
        <v>1</v>
      </c>
    </row>
    <row r="10" spans="2:9">
      <c r="B10" s="76" t="s">
        <v>23</v>
      </c>
      <c r="D10" s="73" t="s">
        <v>3</v>
      </c>
      <c r="F10" s="69" t="s">
        <v>6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64</v>
      </c>
      <c r="D11" s="74" t="s">
        <v>33</v>
      </c>
      <c r="F11" s="70" t="s">
        <v>22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65</v>
      </c>
      <c r="F13" s="70"/>
      <c r="H13" s="79" t="str">
        <f ca="1">Idiomas!$A$16</f>
        <v>Final</v>
      </c>
      <c r="I13" s="86">
        <v>5</v>
      </c>
    </row>
    <row r="14" spans="2:9">
      <c r="B14" s="76" t="s">
        <v>32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23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66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64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1" t="s">
        <v>67</v>
      </c>
      <c r="C23" s="112"/>
      <c r="D23" s="113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68</v>
      </c>
      <c r="F1" s="50" t="s">
        <v>69</v>
      </c>
      <c r="G1" s="50" t="s">
        <v>70</v>
      </c>
      <c r="H1" s="50" t="s">
        <v>71</v>
      </c>
      <c r="I1" s="50" t="s">
        <v>72</v>
      </c>
      <c r="J1" s="50" t="s">
        <v>73</v>
      </c>
      <c r="K1" s="50" t="s">
        <v>74</v>
      </c>
      <c r="L1" s="50" t="s">
        <v>75</v>
      </c>
      <c r="M1" s="50" t="s">
        <v>76</v>
      </c>
      <c r="N1" s="50" t="s">
        <v>77</v>
      </c>
      <c r="O1" s="50" t="str">
        <f ca="1">Idiomas!$A$21</f>
        <v>Celda</v>
      </c>
      <c r="P1" s="51" t="s">
        <v>78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R69:R76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R60:R67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R-51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R-51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R51:R58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R-42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R-42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R42:R49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R-33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R-33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R33:R40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R-24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R-24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R24:R31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R15:R22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R6:R13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H-33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H33:H40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>H-24</v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H-24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H24:H31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>H-15</v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H-15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H15:H22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2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>H-6</v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H-6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H6:H13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C-96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C-96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C96:C103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1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>C-87</v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C-87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C87:C94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1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>C-78</v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C-78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C78:C85</v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C-69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C-69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C69:C76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C-60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C-60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C60:C67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C-51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C-51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C51:C58</v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C-42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C-42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C42:C49</v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C-33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C-33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C33:C40</v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C-24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C-24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C24:C31</v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C-15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C15:C22</v>
      </c>
    </row>
    <row r="24" spans="1:16" ht="15.6" thickTop="1" thickBot="1">
      <c r="A24" s="52" t="str">
        <f ca="1"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C-6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C6:C13</v>
      </c>
    </row>
    <row r="25" spans="1:16" ht="15.6" thickTop="1" thickBot="1">
      <c r="A25" s="56" t="str">
        <f ca="1"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23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23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12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23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12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23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12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23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12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23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>
        <f t="shared" ca="1" si="1"/>
        <v>12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23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>
        <f ca="1"/>
        <v>9</v>
      </c>
      <c r="H10" s="20">
        <f t="shared" ca="1" si="11"/>
        <v>1</v>
      </c>
      <c r="I10" s="20">
        <f t="shared" ca="1" si="1"/>
        <v>12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23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12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22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>
        <f ca="1"/>
        <v>11</v>
      </c>
      <c r="H12" s="20">
        <f t="shared" ca="1" si="11"/>
        <v>2</v>
      </c>
      <c r="I12" s="20">
        <f t="shared" ca="1" si="1"/>
        <v>11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22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>
        <f ca="1"/>
        <v>12</v>
      </c>
      <c r="H13" s="20">
        <f t="shared" ca="1" si="11"/>
        <v>2</v>
      </c>
      <c r="I13" s="20">
        <f t="shared" ca="1" si="1"/>
        <v>11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>
        <f ca="1"/>
        <v>13</v>
      </c>
      <c r="C14" s="20">
        <f t="shared" ca="1" si="20"/>
        <v>2</v>
      </c>
      <c r="D14" s="20">
        <f t="shared" ca="1" si="0"/>
        <v>22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2</v>
      </c>
      <c r="I14" s="20">
        <f t="shared" ca="1" si="1"/>
        <v>11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>
        <f ca="1"/>
        <v>14</v>
      </c>
      <c r="C15" s="20">
        <f t="shared" ca="1" si="20"/>
        <v>2</v>
      </c>
      <c r="D15" s="20">
        <f t="shared" ca="1" si="0"/>
        <v>22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2</v>
      </c>
      <c r="I15" s="20">
        <f t="shared" ca="1" si="1"/>
        <v>11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>
        <f ca="1"/>
        <v>15</v>
      </c>
      <c r="C16" s="20">
        <f t="shared" ca="1" si="20"/>
        <v>2</v>
      </c>
      <c r="D16" s="20">
        <f t="shared" ca="1" si="0"/>
        <v>22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>
        <f t="shared" ca="1" si="1"/>
        <v>11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>
        <f ca="1"/>
        <v>16</v>
      </c>
      <c r="C17" s="20">
        <f t="shared" ca="1" si="20"/>
        <v>2</v>
      </c>
      <c r="D17" s="20">
        <f t="shared" ca="1" si="0"/>
        <v>22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2</v>
      </c>
      <c r="I17" s="20">
        <f t="shared" ca="1" si="1"/>
        <v>11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>
        <f ca="1"/>
        <v>17</v>
      </c>
      <c r="C18" s="20">
        <f t="shared" ca="1" si="20"/>
        <v>2</v>
      </c>
      <c r="D18" s="20">
        <f t="shared" ca="1" si="0"/>
        <v>22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2</v>
      </c>
      <c r="I18" s="20">
        <f t="shared" ca="1" si="1"/>
        <v>11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>
        <f ca="1"/>
        <v>18</v>
      </c>
      <c r="C19" s="20">
        <f t="shared" ca="1" si="20"/>
        <v>2</v>
      </c>
      <c r="D19" s="20">
        <f t="shared" ca="1" si="0"/>
        <v>22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2</v>
      </c>
      <c r="I19" s="20">
        <f t="shared" ca="1" si="1"/>
        <v>11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>
        <f ca="1"/>
        <v>19</v>
      </c>
      <c r="C20" s="20">
        <f t="shared" ca="1" si="20"/>
        <v>2</v>
      </c>
      <c r="D20" s="20">
        <f t="shared" ca="1" si="0"/>
        <v>22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11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>
        <f ca="1"/>
        <v>20</v>
      </c>
      <c r="C21" s="20">
        <f t="shared" ca="1" si="20"/>
        <v>3</v>
      </c>
      <c r="D21" s="20">
        <f t="shared" ca="1" si="0"/>
        <v>21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 t="str">
        <f ca="1"/>
        <v/>
      </c>
      <c r="H21" s="20">
        <f t="shared" ca="1" si="11"/>
        <v>3</v>
      </c>
      <c r="I21" s="20">
        <f t="shared" ca="1" si="1"/>
        <v>10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>
        <f ca="1"/>
        <v>21</v>
      </c>
      <c r="C22" s="20">
        <f t="shared" ca="1" si="20"/>
        <v>3</v>
      </c>
      <c r="D22" s="20">
        <f t="shared" ca="1" si="0"/>
        <v>21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 t="str">
        <f ca="1"/>
        <v/>
      </c>
      <c r="H22" s="20">
        <f t="shared" ca="1" si="11"/>
        <v>3</v>
      </c>
      <c r="I22" s="20">
        <f t="shared" ca="1" si="1"/>
        <v>10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>
        <f ca="1"/>
        <v>22</v>
      </c>
      <c r="C23" s="20">
        <f t="shared" ca="1" si="20"/>
        <v>3</v>
      </c>
      <c r="D23" s="20">
        <f t="shared" ca="1" si="0"/>
        <v>21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3</v>
      </c>
      <c r="I23" s="20">
        <f t="shared" ca="1" si="1"/>
        <v>10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>
        <f ca="1"/>
        <v>23</v>
      </c>
      <c r="C24" s="20">
        <f t="shared" ca="1" si="20"/>
        <v>3</v>
      </c>
      <c r="D24" s="20">
        <f t="shared" ca="1" si="0"/>
        <v>21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3</v>
      </c>
      <c r="I24" s="20">
        <f t="shared" ca="1" si="1"/>
        <v>10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21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3</v>
      </c>
      <c r="I25" s="20">
        <f t="shared" ca="1" si="1"/>
        <v>10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21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3</v>
      </c>
      <c r="I26" s="20">
        <f t="shared" ca="1" si="1"/>
        <v>10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21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3</v>
      </c>
      <c r="I27" s="20">
        <f t="shared" ca="1" si="1"/>
        <v>10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>
        <f t="shared" ca="1" si="0"/>
        <v>21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3</v>
      </c>
      <c r="I28" s="20">
        <f t="shared" ca="1" si="1"/>
        <v>10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>
        <f t="shared" ca="1" si="0"/>
        <v>21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10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4</v>
      </c>
      <c r="D30" s="20">
        <f t="shared" ca="1" si="0"/>
        <v>20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4</v>
      </c>
      <c r="I30" s="20">
        <f t="shared" ca="1" si="1"/>
        <v>9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>
        <f t="shared" ca="1" si="0"/>
        <v>20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4</v>
      </c>
      <c r="I31" s="20">
        <f t="shared" ca="1" si="1"/>
        <v>9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>
        <f t="shared" ca="1" si="0"/>
        <v>20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4</v>
      </c>
      <c r="I32" s="20">
        <f t="shared" ca="1" si="1"/>
        <v>9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>
        <f t="shared" ca="1" si="0"/>
        <v>20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4</v>
      </c>
      <c r="I33" s="20">
        <f t="shared" ca="1" si="1"/>
        <v>9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>
        <f t="shared" ca="1" si="0"/>
        <v>20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4</v>
      </c>
      <c r="I34" s="20">
        <f t="shared" ca="1" si="1"/>
        <v>9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20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9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>
        <f t="shared" ca="1" si="21"/>
        <v>20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4</v>
      </c>
      <c r="I36" s="20">
        <f t="shared" ca="1" si="22"/>
        <v>9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>
        <f t="shared" ca="1" si="21"/>
        <v>20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4</v>
      </c>
      <c r="I37" s="20">
        <f t="shared" ca="1" si="22"/>
        <v>9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>
        <f t="shared" ca="1" si="21"/>
        <v>20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9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5</v>
      </c>
      <c r="D39" s="20">
        <f t="shared" ca="1" si="21"/>
        <v>19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3-1</v>
      </c>
      <c r="G39" s="19" t="str">
        <f ca="1"/>
        <v/>
      </c>
      <c r="H39" s="20">
        <f t="shared" ca="1" si="11"/>
        <v>5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5</v>
      </c>
      <c r="D40" s="20">
        <f t="shared" ca="1" si="21"/>
        <v>19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3-2</v>
      </c>
      <c r="G40" s="19" t="str">
        <f ca="1"/>
        <v/>
      </c>
      <c r="H40" s="20">
        <f t="shared" ca="1" si="11"/>
        <v>5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5</v>
      </c>
      <c r="D41" s="20">
        <f t="shared" ca="1" si="21"/>
        <v>19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3-3</v>
      </c>
      <c r="G41" s="19" t="str">
        <f ca="1"/>
        <v/>
      </c>
      <c r="H41" s="20">
        <f t="shared" ca="1" si="11"/>
        <v>5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5</v>
      </c>
      <c r="D42" s="20">
        <f t="shared" ca="1" si="21"/>
        <v>19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3-4</v>
      </c>
      <c r="G42" s="19" t="str">
        <f ca="1"/>
        <v/>
      </c>
      <c r="H42" s="20">
        <f t="shared" ca="1" si="11"/>
        <v>5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5</v>
      </c>
      <c r="D43" s="20">
        <f t="shared" ca="1" si="21"/>
        <v>19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3-5</v>
      </c>
      <c r="G43" s="19" t="str">
        <f ca="1"/>
        <v/>
      </c>
      <c r="H43" s="20">
        <f t="shared" ca="1" si="11"/>
        <v>5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5</v>
      </c>
      <c r="D44" s="20">
        <f t="shared" ca="1" si="21"/>
        <v>19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3-6</v>
      </c>
      <c r="G44" s="19" t="str">
        <f ca="1"/>
        <v/>
      </c>
      <c r="H44" s="20">
        <f t="shared" ca="1" si="11"/>
        <v>5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5</v>
      </c>
      <c r="D45" s="20">
        <f t="shared" ca="1" si="21"/>
        <v>19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3-7</v>
      </c>
      <c r="G45" s="19" t="str">
        <f ca="1"/>
        <v/>
      </c>
      <c r="H45" s="20">
        <f t="shared" ca="1" si="11"/>
        <v>5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5</v>
      </c>
      <c r="D46" s="20">
        <f t="shared" ca="1" si="21"/>
        <v>19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3-8</v>
      </c>
      <c r="G46" s="19" t="str">
        <f ca="1"/>
        <v/>
      </c>
      <c r="H46" s="20">
        <f t="shared" ca="1" si="11"/>
        <v>5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5</v>
      </c>
      <c r="D47" s="20">
        <f t="shared" ca="1" si="21"/>
        <v>19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6</v>
      </c>
      <c r="D48" s="20">
        <f t="shared" ca="1" si="21"/>
        <v>18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3-1</v>
      </c>
      <c r="G48" s="19" t="str">
        <f ca="1"/>
        <v/>
      </c>
      <c r="H48" s="20">
        <f t="shared" ca="1" si="11"/>
        <v>5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6</v>
      </c>
      <c r="D49" s="20">
        <f t="shared" ca="1" si="21"/>
        <v>18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3-2</v>
      </c>
      <c r="G49" s="19" t="str">
        <f ca="1"/>
        <v/>
      </c>
      <c r="H49" s="20">
        <f t="shared" ca="1" si="11"/>
        <v>5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6</v>
      </c>
      <c r="D50" s="20">
        <f t="shared" ca="1" si="21"/>
        <v>18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3-3</v>
      </c>
      <c r="G50" s="19" t="str">
        <f ca="1"/>
        <v/>
      </c>
      <c r="H50" s="20">
        <f t="shared" ca="1" si="11"/>
        <v>5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6</v>
      </c>
      <c r="D51" s="20">
        <f t="shared" ca="1" si="21"/>
        <v>18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3-4</v>
      </c>
      <c r="G51" s="19" t="str">
        <f ca="1"/>
        <v/>
      </c>
      <c r="H51" s="20">
        <f t="shared" ca="1" si="11"/>
        <v>5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6</v>
      </c>
      <c r="D52" s="20">
        <f t="shared" ca="1" si="21"/>
        <v>18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3-5</v>
      </c>
      <c r="G52" s="19" t="str">
        <f ca="1"/>
        <v/>
      </c>
      <c r="H52" s="20">
        <f t="shared" ca="1" si="11"/>
        <v>5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6</v>
      </c>
      <c r="D53" s="20">
        <f t="shared" ca="1" si="21"/>
        <v>18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3-6</v>
      </c>
      <c r="G53" s="19" t="str">
        <f ca="1"/>
        <v/>
      </c>
      <c r="H53" s="20">
        <f t="shared" ca="1" si="11"/>
        <v>5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6</v>
      </c>
      <c r="D54" s="20">
        <f t="shared" ca="1" si="21"/>
        <v>18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3-7</v>
      </c>
      <c r="G54" s="19" t="str">
        <f ca="1"/>
        <v/>
      </c>
      <c r="H54" s="20">
        <f t="shared" ca="1" si="11"/>
        <v>5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6</v>
      </c>
      <c r="D55" s="20">
        <f t="shared" ca="1" si="21"/>
        <v>18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3-8</v>
      </c>
      <c r="G55" s="19" t="str">
        <f ca="1"/>
        <v/>
      </c>
      <c r="H55" s="20">
        <f t="shared" ca="1" si="11"/>
        <v>5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6</v>
      </c>
      <c r="D56" s="20">
        <f t="shared" ca="1" si="21"/>
        <v>18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5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7</v>
      </c>
      <c r="D57" s="20">
        <f t="shared" ca="1" si="21"/>
        <v>17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3-1</v>
      </c>
      <c r="G57" s="19" t="str">
        <f ca="1"/>
        <v/>
      </c>
      <c r="H57" s="20">
        <f t="shared" ca="1" si="11"/>
        <v>5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7</v>
      </c>
      <c r="D58" s="20">
        <f t="shared" ca="1" si="21"/>
        <v>17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3-2</v>
      </c>
      <c r="G58" s="19" t="str">
        <f ca="1"/>
        <v/>
      </c>
      <c r="H58" s="20">
        <f t="shared" ca="1" si="11"/>
        <v>5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7</v>
      </c>
      <c r="D59" s="20">
        <f t="shared" ca="1" si="21"/>
        <v>17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3-3</v>
      </c>
      <c r="G59" s="19" t="str">
        <f ca="1"/>
        <v/>
      </c>
      <c r="H59" s="20">
        <f t="shared" ca="1" si="11"/>
        <v>5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7</v>
      </c>
      <c r="D60" s="20">
        <f t="shared" ca="1" si="21"/>
        <v>17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3-4</v>
      </c>
      <c r="G60" s="19" t="str">
        <f ca="1"/>
        <v/>
      </c>
      <c r="H60" s="20">
        <f t="shared" ca="1" si="11"/>
        <v>5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7</v>
      </c>
      <c r="D61" s="20">
        <f t="shared" ca="1" si="21"/>
        <v>17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3-5</v>
      </c>
      <c r="G61" s="19" t="str">
        <f ca="1"/>
        <v/>
      </c>
      <c r="H61" s="20">
        <f t="shared" ca="1" si="11"/>
        <v>5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7</v>
      </c>
      <c r="D62" s="20">
        <f t="shared" ca="1" si="21"/>
        <v>17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3-6</v>
      </c>
      <c r="G62" s="19" t="str">
        <f ca="1"/>
        <v/>
      </c>
      <c r="H62" s="20">
        <f t="shared" ca="1" si="11"/>
        <v>5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7</v>
      </c>
      <c r="D63" s="20">
        <f t="shared" ca="1" si="21"/>
        <v>17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3-7</v>
      </c>
      <c r="G63" s="19" t="str">
        <f ca="1"/>
        <v/>
      </c>
      <c r="H63" s="20">
        <f t="shared" ca="1" si="11"/>
        <v>5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7</v>
      </c>
      <c r="D64" s="20">
        <f t="shared" ca="1" si="21"/>
        <v>17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3-8</v>
      </c>
      <c r="G64" s="19" t="str">
        <f ca="1"/>
        <v/>
      </c>
      <c r="H64" s="20">
        <f t="shared" ca="1" si="11"/>
        <v>5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7</v>
      </c>
      <c r="D65" s="20">
        <f t="shared" ca="1" si="21"/>
        <v>17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5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8</v>
      </c>
      <c r="D66" s="20">
        <f t="shared" ca="1" si="21"/>
        <v>16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3-1</v>
      </c>
      <c r="G66" s="19" t="str">
        <f ca="1"/>
        <v/>
      </c>
      <c r="H66" s="20">
        <f t="shared" ca="1" si="11"/>
        <v>5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16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3-2</v>
      </c>
      <c r="G67" s="19" t="str">
        <f ca="1"/>
        <v/>
      </c>
      <c r="H67" s="20">
        <f t="shared" ca="1" si="11"/>
        <v>5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8</v>
      </c>
      <c r="D68" s="20">
        <f t="shared" ca="1" si="26"/>
        <v>16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3-3</v>
      </c>
      <c r="G68" s="19" t="str">
        <f ca="1"/>
        <v/>
      </c>
      <c r="H68" s="20">
        <f t="shared" ref="H68:H131" ca="1" si="36">H67--(J67=0)</f>
        <v>5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8</v>
      </c>
      <c r="D69" s="20">
        <f t="shared" ca="1" si="26"/>
        <v>16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3-4</v>
      </c>
      <c r="G69" s="19" t="str">
        <f ca="1"/>
        <v/>
      </c>
      <c r="H69" s="20">
        <f t="shared" ca="1" si="36"/>
        <v>5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8</v>
      </c>
      <c r="D70" s="20">
        <f t="shared" ca="1" si="26"/>
        <v>16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3-5</v>
      </c>
      <c r="G70" s="19" t="str">
        <f ca="1"/>
        <v/>
      </c>
      <c r="H70" s="20">
        <f t="shared" ca="1" si="36"/>
        <v>5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8</v>
      </c>
      <c r="D71" s="20">
        <f t="shared" ca="1" si="26"/>
        <v>16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3-6</v>
      </c>
      <c r="G71" s="19" t="str">
        <f ca="1"/>
        <v/>
      </c>
      <c r="H71" s="20">
        <f t="shared" ca="1" si="36"/>
        <v>5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8</v>
      </c>
      <c r="D72" s="20">
        <f t="shared" ca="1" si="26"/>
        <v>16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3-7</v>
      </c>
      <c r="G72" s="19" t="str">
        <f ca="1"/>
        <v/>
      </c>
      <c r="H72" s="20">
        <f t="shared" ca="1" si="36"/>
        <v>5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8</v>
      </c>
      <c r="D73" s="20">
        <f t="shared" ca="1" si="26"/>
        <v>16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3-8</v>
      </c>
      <c r="G73" s="19" t="str">
        <f ca="1"/>
        <v/>
      </c>
      <c r="H73" s="20">
        <f t="shared" ca="1" si="36"/>
        <v>5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8</v>
      </c>
      <c r="D74" s="20">
        <f t="shared" ca="1" si="26"/>
        <v>16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5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9</v>
      </c>
      <c r="D75" s="20">
        <f t="shared" ca="1" si="26"/>
        <v>15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3-1</v>
      </c>
      <c r="G75" s="19" t="str">
        <f ca="1"/>
        <v/>
      </c>
      <c r="H75" s="20">
        <f t="shared" ca="1" si="36"/>
        <v>5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9</v>
      </c>
      <c r="D76" s="20">
        <f t="shared" ca="1" si="26"/>
        <v>15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3-2</v>
      </c>
      <c r="G76" s="19" t="str">
        <f ca="1"/>
        <v/>
      </c>
      <c r="H76" s="20">
        <f t="shared" ca="1" si="36"/>
        <v>5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9</v>
      </c>
      <c r="D77" s="20">
        <f t="shared" ca="1" si="26"/>
        <v>15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3-3</v>
      </c>
      <c r="G77" s="19" t="str">
        <f ca="1"/>
        <v/>
      </c>
      <c r="H77" s="20">
        <f t="shared" ca="1" si="36"/>
        <v>5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9</v>
      </c>
      <c r="D78" s="20">
        <f t="shared" ca="1" si="26"/>
        <v>15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3-4</v>
      </c>
      <c r="G78" s="19" t="str">
        <f ca="1"/>
        <v/>
      </c>
      <c r="H78" s="20">
        <f t="shared" ca="1" si="36"/>
        <v>5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9</v>
      </c>
      <c r="D79" s="20">
        <f t="shared" ca="1" si="26"/>
        <v>15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3-5</v>
      </c>
      <c r="G79" s="19" t="str">
        <f ca="1"/>
        <v/>
      </c>
      <c r="H79" s="20">
        <f t="shared" ca="1" si="36"/>
        <v>5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9</v>
      </c>
      <c r="D80" s="20">
        <f t="shared" ca="1" si="26"/>
        <v>15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3-6</v>
      </c>
      <c r="G80" s="19" t="str">
        <f ca="1"/>
        <v/>
      </c>
      <c r="H80" s="20">
        <f t="shared" ca="1" si="36"/>
        <v>5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9</v>
      </c>
      <c r="D81" s="20">
        <f t="shared" ca="1" si="26"/>
        <v>15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3-7</v>
      </c>
      <c r="G81" s="19" t="str">
        <f ca="1"/>
        <v/>
      </c>
      <c r="H81" s="20">
        <f t="shared" ca="1" si="36"/>
        <v>5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9</v>
      </c>
      <c r="D82" s="20">
        <f t="shared" ca="1" si="26"/>
        <v>15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3-8</v>
      </c>
      <c r="G82" s="19" t="str">
        <f ca="1"/>
        <v/>
      </c>
      <c r="H82" s="20">
        <f t="shared" ca="1" si="36"/>
        <v>5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9</v>
      </c>
      <c r="D83" s="20">
        <f t="shared" ca="1" si="26"/>
        <v>15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5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10</v>
      </c>
      <c r="D84" s="20">
        <f t="shared" ca="1" si="26"/>
        <v>14</v>
      </c>
      <c r="E84" s="20" cm="1">
        <f t="array" aca="1" ref="E84" ca="1">IF(D84="","",IF(D84&lt;&gt;D83,1,IF(E83=misLíneas-2,0,E83+1)))</f>
        <v>1</v>
      </c>
      <c r="F84" s="20" t="str" cm="1">
        <f t="array" aca="1" ref="F84" ca="1">IF(OR(E84=0,E84=""),"",INDEX(misCriticidades,D84)&amp;"-"&amp;IFERROR(MATCH(E84,miOrdenTarjeta,0),0))</f>
        <v>3-1</v>
      </c>
      <c r="G84" s="19" t="str">
        <f ca="1"/>
        <v/>
      </c>
      <c r="H84" s="20">
        <f t="shared" ca="1" si="36"/>
        <v>5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9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10</v>
      </c>
      <c r="D85" s="20">
        <f t="shared" ca="1" si="26"/>
        <v>14</v>
      </c>
      <c r="E85" s="20" cm="1">
        <f t="array" aca="1" ref="E85" ca="1">IF(D85="","",IF(D85&lt;&gt;D84,1,IF(E84=misLíneas-2,0,E84+1)))</f>
        <v>2</v>
      </c>
      <c r="F85" s="20" t="str" cm="1">
        <f t="array" aca="1" ref="F85" ca="1">IF(OR(E85=0,E85=""),"",INDEX(misCriticidades,D85)&amp;"-"&amp;IFERROR(MATCH(E85,miOrdenTarjeta,0),0))</f>
        <v>3-2</v>
      </c>
      <c r="G85" s="19" t="str">
        <f ca="1"/>
        <v/>
      </c>
      <c r="H85" s="20">
        <f t="shared" ca="1" si="36"/>
        <v>5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9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10</v>
      </c>
      <c r="D86" s="20">
        <f t="shared" ca="1" si="26"/>
        <v>14</v>
      </c>
      <c r="E86" s="20" cm="1">
        <f t="array" aca="1" ref="E86" ca="1">IF(D86="","",IF(D86&lt;&gt;D85,1,IF(E85=misLíneas-2,0,E85+1)))</f>
        <v>3</v>
      </c>
      <c r="F86" s="20" t="str" cm="1">
        <f t="array" aca="1" ref="F86" ca="1">IF(OR(E86=0,E86=""),"",INDEX(misCriticidades,D86)&amp;"-"&amp;IFERROR(MATCH(E86,miOrdenTarjeta,0),0))</f>
        <v>3-3</v>
      </c>
      <c r="G86" s="19" t="str">
        <f ca="1"/>
        <v/>
      </c>
      <c r="H86" s="20">
        <f t="shared" ca="1" si="36"/>
        <v>5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9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10</v>
      </c>
      <c r="D87" s="20">
        <f t="shared" ca="1" si="26"/>
        <v>14</v>
      </c>
      <c r="E87" s="20" cm="1">
        <f t="array" aca="1" ref="E87" ca="1">IF(D87="","",IF(D87&lt;&gt;D86,1,IF(E86=misLíneas-2,0,E86+1)))</f>
        <v>4</v>
      </c>
      <c r="F87" s="20" t="str" cm="1">
        <f t="array" aca="1" ref="F87" ca="1">IF(OR(E87=0,E87=""),"",INDEX(misCriticidades,D87)&amp;"-"&amp;IFERROR(MATCH(E87,miOrdenTarjeta,0),0))</f>
        <v>3-4</v>
      </c>
      <c r="G87" s="19" t="str">
        <f ca="1"/>
        <v/>
      </c>
      <c r="H87" s="20">
        <f t="shared" ca="1" si="36"/>
        <v>5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9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10</v>
      </c>
      <c r="D88" s="20">
        <f t="shared" ca="1" si="26"/>
        <v>14</v>
      </c>
      <c r="E88" s="20" cm="1">
        <f t="array" aca="1" ref="E88" ca="1">IF(D88="","",IF(D88&lt;&gt;D87,1,IF(E87=misLíneas-2,0,E87+1)))</f>
        <v>5</v>
      </c>
      <c r="F88" s="20" t="str" cm="1">
        <f t="array" aca="1" ref="F88" ca="1">IF(OR(E88=0,E88=""),"",INDEX(misCriticidades,D88)&amp;"-"&amp;IFERROR(MATCH(E88,miOrdenTarjeta,0),0))</f>
        <v>3-5</v>
      </c>
      <c r="G88" s="19" t="str">
        <f ca="1"/>
        <v/>
      </c>
      <c r="H88" s="20">
        <f t="shared" ca="1" si="36"/>
        <v>5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9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10</v>
      </c>
      <c r="D89" s="20">
        <f t="shared" ca="1" si="26"/>
        <v>14</v>
      </c>
      <c r="E89" s="20" cm="1">
        <f t="array" aca="1" ref="E89" ca="1">IF(D89="","",IF(D89&lt;&gt;D88,1,IF(E88=misLíneas-2,0,E88+1)))</f>
        <v>6</v>
      </c>
      <c r="F89" s="20" t="str" cm="1">
        <f t="array" aca="1" ref="F89" ca="1">IF(OR(E89=0,E89=""),"",INDEX(misCriticidades,D89)&amp;"-"&amp;IFERROR(MATCH(E89,miOrdenTarjeta,0),0))</f>
        <v>3-6</v>
      </c>
      <c r="G89" s="19" t="str">
        <f ca="1"/>
        <v/>
      </c>
      <c r="H89" s="20">
        <f t="shared" ca="1" si="36"/>
        <v>5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9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10</v>
      </c>
      <c r="D90" s="20">
        <f t="shared" ca="1" si="26"/>
        <v>14</v>
      </c>
      <c r="E90" s="20" cm="1">
        <f t="array" aca="1" ref="E90" ca="1">IF(D90="","",IF(D90&lt;&gt;D89,1,IF(E89=misLíneas-2,0,E89+1)))</f>
        <v>7</v>
      </c>
      <c r="F90" s="20" t="str" cm="1">
        <f t="array" aca="1" ref="F90" ca="1">IF(OR(E90=0,E90=""),"",INDEX(misCriticidades,D90)&amp;"-"&amp;IFERROR(MATCH(E90,miOrdenTarjeta,0),0))</f>
        <v>3-7</v>
      </c>
      <c r="G90" s="19" t="str">
        <f ca="1"/>
        <v/>
      </c>
      <c r="H90" s="20">
        <f t="shared" ca="1" si="36"/>
        <v>5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9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10</v>
      </c>
      <c r="D91" s="20">
        <f t="shared" ca="1" si="26"/>
        <v>14</v>
      </c>
      <c r="E91" s="20" cm="1">
        <f t="array" aca="1" ref="E91" ca="1">IF(D91="","",IF(D91&lt;&gt;D90,1,IF(E90=misLíneas-2,0,E90+1)))</f>
        <v>8</v>
      </c>
      <c r="F91" s="20" t="str" cm="1">
        <f t="array" aca="1" ref="F91" ca="1">IF(OR(E91=0,E91=""),"",INDEX(misCriticidades,D91)&amp;"-"&amp;IFERROR(MATCH(E91,miOrdenTarjeta,0),0))</f>
        <v>3-8</v>
      </c>
      <c r="G91" s="19" t="str">
        <f ca="1"/>
        <v/>
      </c>
      <c r="H91" s="20">
        <f t="shared" ca="1" si="36"/>
        <v>5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9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10</v>
      </c>
      <c r="D92" s="20">
        <f t="shared" ca="1" si="26"/>
        <v>14</v>
      </c>
      <c r="E92" s="20" cm="1">
        <f t="array" aca="1" ref="E92" ca="1">IF(D92="","",IF(D92&lt;&gt;D91,1,IF(E91=misLíneas-2,0,E91+1)))</f>
        <v>0</v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5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9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11</v>
      </c>
      <c r="D93" s="20">
        <f t="shared" ca="1" si="26"/>
        <v>13</v>
      </c>
      <c r="E93" s="20" cm="1">
        <f t="array" aca="1" ref="E93" ca="1">IF(D93="","",IF(D93&lt;&gt;D92,1,IF(E92=misLíneas-2,0,E92+1)))</f>
        <v>1</v>
      </c>
      <c r="F93" s="20" t="str" cm="1">
        <f t="array" aca="1" ref="F93" ca="1">IF(OR(E93=0,E93=""),"",INDEX(misCriticidades,D93)&amp;"-"&amp;IFERROR(MATCH(E93,miOrdenTarjeta,0),0))</f>
        <v>3-1</v>
      </c>
      <c r="G93" s="19" t="str">
        <f ca="1"/>
        <v/>
      </c>
      <c r="H93" s="20">
        <f t="shared" ca="1" si="36"/>
        <v>5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9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11</v>
      </c>
      <c r="D94" s="20">
        <f t="shared" ca="1" si="26"/>
        <v>13</v>
      </c>
      <c r="E94" s="20" cm="1">
        <f t="array" aca="1" ref="E94" ca="1">IF(D94="","",IF(D94&lt;&gt;D93,1,IF(E93=misLíneas-2,0,E93+1)))</f>
        <v>2</v>
      </c>
      <c r="F94" s="20" t="str" cm="1">
        <f t="array" aca="1" ref="F94" ca="1">IF(OR(E94=0,E94=""),"",INDEX(misCriticidades,D94)&amp;"-"&amp;IFERROR(MATCH(E94,miOrdenTarjeta,0),0))</f>
        <v>3-2</v>
      </c>
      <c r="G94" s="19" t="str">
        <f ca="1"/>
        <v/>
      </c>
      <c r="H94" s="20">
        <f t="shared" ca="1" si="36"/>
        <v>5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9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11</v>
      </c>
      <c r="D95" s="20">
        <f t="shared" ca="1" si="26"/>
        <v>13</v>
      </c>
      <c r="E95" s="20" cm="1">
        <f t="array" aca="1" ref="E95" ca="1">IF(D95="","",IF(D95&lt;&gt;D94,1,IF(E94=misLíneas-2,0,E94+1)))</f>
        <v>3</v>
      </c>
      <c r="F95" s="20" t="str" cm="1">
        <f t="array" aca="1" ref="F95" ca="1">IF(OR(E95=0,E95=""),"",INDEX(misCriticidades,D95)&amp;"-"&amp;IFERROR(MATCH(E95,miOrdenTarjeta,0),0))</f>
        <v>3-3</v>
      </c>
      <c r="G95" s="19" t="str">
        <f ca="1"/>
        <v/>
      </c>
      <c r="H95" s="20">
        <f t="shared" ca="1" si="36"/>
        <v>5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9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11</v>
      </c>
      <c r="D96" s="20">
        <f t="shared" ca="1" si="26"/>
        <v>13</v>
      </c>
      <c r="E96" s="20" cm="1">
        <f t="array" aca="1" ref="E96" ca="1">IF(D96="","",IF(D96&lt;&gt;D95,1,IF(E95=misLíneas-2,0,E95+1)))</f>
        <v>4</v>
      </c>
      <c r="F96" s="20" t="str" cm="1">
        <f t="array" aca="1" ref="F96" ca="1">IF(OR(E96=0,E96=""),"",INDEX(misCriticidades,D96)&amp;"-"&amp;IFERROR(MATCH(E96,miOrdenTarjeta,0),0))</f>
        <v>3-4</v>
      </c>
      <c r="G96" s="19" t="str">
        <f ca="1"/>
        <v/>
      </c>
      <c r="H96" s="20">
        <f t="shared" ca="1" si="36"/>
        <v>5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9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11</v>
      </c>
      <c r="D97" s="20">
        <f t="shared" ca="1" si="26"/>
        <v>13</v>
      </c>
      <c r="E97" s="20" cm="1">
        <f t="array" aca="1" ref="E97" ca="1">IF(D97="","",IF(D97&lt;&gt;D96,1,IF(E96=misLíneas-2,0,E96+1)))</f>
        <v>5</v>
      </c>
      <c r="F97" s="20" t="str" cm="1">
        <f t="array" aca="1" ref="F97" ca="1">IF(OR(E97=0,E97=""),"",INDEX(misCriticidades,D97)&amp;"-"&amp;IFERROR(MATCH(E97,miOrdenTarjeta,0),0))</f>
        <v>3-5</v>
      </c>
      <c r="G97" s="19" t="str">
        <f ca="1"/>
        <v/>
      </c>
      <c r="H97" s="20">
        <f t="shared" ca="1" si="36"/>
        <v>5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9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11</v>
      </c>
      <c r="D98" s="20">
        <f t="shared" ca="1" si="26"/>
        <v>13</v>
      </c>
      <c r="E98" s="20" cm="1">
        <f t="array" aca="1" ref="E98" ca="1">IF(D98="","",IF(D98&lt;&gt;D97,1,IF(E97=misLíneas-2,0,E97+1)))</f>
        <v>6</v>
      </c>
      <c r="F98" s="20" t="str" cm="1">
        <f t="array" aca="1" ref="F98" ca="1">IF(OR(E98=0,E98=""),"",INDEX(misCriticidades,D98)&amp;"-"&amp;IFERROR(MATCH(E98,miOrdenTarjeta,0),0))</f>
        <v>3-6</v>
      </c>
      <c r="G98" s="19" t="str">
        <f ca="1"/>
        <v/>
      </c>
      <c r="H98" s="20">
        <f t="shared" ca="1" si="36"/>
        <v>5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9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11</v>
      </c>
      <c r="D99" s="20">
        <f t="shared" ref="D99:D130" ca="1" si="46">IF(C99&gt;C98,IFERROR(IF(F$1="v",SMALL(B$2:B$101,C99),LARGE(B$2:B$101,C99)),""),D98)</f>
        <v>13</v>
      </c>
      <c r="E99" s="20" cm="1">
        <f t="array" aca="1" ref="E99" ca="1">IF(D99="","",IF(D99&lt;&gt;D98,1,IF(E98=misLíneas-2,0,E98+1)))</f>
        <v>7</v>
      </c>
      <c r="F99" s="20" t="str" cm="1">
        <f t="array" aca="1" ref="F99" ca="1">IF(OR(E99=0,E99=""),"",INDEX(misCriticidades,D99)&amp;"-"&amp;IFERROR(MATCH(E99,miOrdenTarjeta,0),0))</f>
        <v>3-7</v>
      </c>
      <c r="G99" s="19" t="str">
        <f ca="1"/>
        <v/>
      </c>
      <c r="H99" s="20">
        <f t="shared" ca="1" si="36"/>
        <v>5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9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11</v>
      </c>
      <c r="D100" s="20">
        <f t="shared" ca="1" si="46"/>
        <v>13</v>
      </c>
      <c r="E100" s="20" cm="1">
        <f t="array" aca="1" ref="E100" ca="1">IF(D100="","",IF(D100&lt;&gt;D99,1,IF(E99=misLíneas-2,0,E99+1)))</f>
        <v>8</v>
      </c>
      <c r="F100" s="20" t="str" cm="1">
        <f t="array" aca="1" ref="F100" ca="1">IF(OR(E100=0,E100=""),"",INDEX(misCriticidades,D100)&amp;"-"&amp;IFERROR(MATCH(E100,miOrdenTarjeta,0),0))</f>
        <v>3-8</v>
      </c>
      <c r="G100" s="19" t="str">
        <f ca="1"/>
        <v/>
      </c>
      <c r="H100" s="20">
        <f t="shared" ca="1" si="36"/>
        <v>5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9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11</v>
      </c>
      <c r="D101" s="20">
        <f t="shared" ca="1" si="46"/>
        <v>13</v>
      </c>
      <c r="E101" s="20" cm="1">
        <f t="array" aca="1" ref="E101" ca="1">IF(D101="","",IF(D101&lt;&gt;D100,1,IF(E100=misLíneas-2,0,E100+1)))</f>
        <v>0</v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5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9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12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5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9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12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5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9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12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5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9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12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5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9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12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5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9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12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5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9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12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5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9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12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5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9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12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5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9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12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5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9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12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5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9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12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5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9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12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5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9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12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5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9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12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5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9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12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5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9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12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5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9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12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5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9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12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5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9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12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5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9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12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5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9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12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5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9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12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5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9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12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5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9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12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5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9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12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5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9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12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5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9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12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5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9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12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5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9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12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5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9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12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5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9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12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5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9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12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5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9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12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5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9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12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5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9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12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5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9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12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5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9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12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5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9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12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5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9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12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5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9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12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5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9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12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5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9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12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5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9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12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5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9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12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5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9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12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5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9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12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5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9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12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5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9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12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5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9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12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5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9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12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5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9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12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5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9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12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5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9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12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5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9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12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5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9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12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5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9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12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5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9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12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5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9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12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5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9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12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5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9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12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5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9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12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5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9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12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5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9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12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5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12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5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12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5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12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5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12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5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12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5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12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5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12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5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12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5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12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5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12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5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12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5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12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5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12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5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12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5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12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5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12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5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12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5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12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5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12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5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12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5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12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5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12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5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12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5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12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5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12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5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12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5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12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5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12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5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12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5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12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5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12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5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12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5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12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5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61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  <row r="2" spans="1:7">
      <c r="A2" s="32" t="str" cm="1">
        <f t="array" aca="1" ref="A2" ca="1">INDEX(TablaIdiomas[#This Row],1,$A$1)&amp;""</f>
        <v>Tablero KANBAN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</row>
    <row r="3" spans="1:7">
      <c r="A3" s="36" t="str" cm="1">
        <f t="array" aca="1" ref="A3" ca="1">INDEX(TablaIdiomas[#This Row],1,$A$1)&amp;""</f>
        <v>Idioma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>
      <c r="A4" s="32" t="str" cm="1">
        <f t="array" aca="1" ref="A4" ca="1">INDEX(TablaIdiomas[#This Row],1,$A$1)&amp;""</f>
        <v>AVISO: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96</v>
      </c>
    </row>
    <row r="5" spans="1:7">
      <c r="A5" s="36" t="str" cm="1">
        <f t="array" aca="1" ref="A5" ca="1">INDEX(TablaIdiomas[#This Row],1,$A$1)&amp;""</f>
        <v>Es preciso traducir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</row>
    <row r="6" spans="1:7">
      <c r="A6" s="32" t="str" cm="1">
        <f t="array" aca="1" ref="A6" ca="1">INDEX(TablaIdiomas[#This Row],1,$A$1)&amp;""</f>
        <v>Estados y Criticidad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</row>
    <row r="7" spans="1:7">
      <c r="A7" s="36" t="str" cm="1">
        <f t="array" aca="1" ref="A7" ca="1">INDEX(TablaIdiomas[#This Row],1,$A$1)&amp;""</f>
        <v>Estados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113</v>
      </c>
    </row>
    <row r="8" spans="1:7">
      <c r="A8" s="32" t="str" cm="1">
        <f t="array" aca="1" ref="A8" ca="1">INDEX(TablaIdiomas[#This Row],1,$A$1)&amp;""</f>
        <v>Criticidad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</row>
    <row r="9" spans="1:7">
      <c r="A9" s="36" t="str" cm="1">
        <f t="array" aca="1" ref="A9" ca="1">INDEX(TablaIdiomas[#This Row],1,$A$1)&amp;""</f>
        <v>Miembros del equipo</v>
      </c>
      <c r="B9" s="2" t="s">
        <v>124</v>
      </c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</row>
    <row r="10" spans="1:7">
      <c r="A10" s="32" t="str" cm="1">
        <f t="array" aca="1" ref="A10" ca="1">INDEX(TablaIdiomas[#This Row],1,$A$1)&amp;""</f>
        <v>Estado final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130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</row>
    <row r="12" spans="1:7">
      <c r="A12" s="32" t="str" cm="1">
        <f t="array" aca="1" ref="A12" ca="1">INDEX(TablaIdiomas[#This Row],1,$A$1)&amp;""</f>
        <v>Tarea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</row>
    <row r="13" spans="1:7">
      <c r="A13" s="36" t="str" cm="1">
        <f t="array" aca="1" ref="A13" ca="1">INDEX(TablaIdiomas[#This Row],1,$A$1)&amp;""</f>
        <v>Descripción</v>
      </c>
      <c r="B13" s="2" t="s">
        <v>147</v>
      </c>
      <c r="C13" s="2" t="s">
        <v>148</v>
      </c>
      <c r="D13" s="2" t="s">
        <v>148</v>
      </c>
      <c r="E13" s="2" t="s">
        <v>149</v>
      </c>
      <c r="F13" s="2" t="s">
        <v>150</v>
      </c>
      <c r="G13" s="2" t="s">
        <v>151</v>
      </c>
    </row>
    <row r="14" spans="1:7">
      <c r="A14" s="32" t="str" cm="1">
        <f t="array" aca="1" ref="A14" ca="1">INDEX(TablaIdiomas[#This Row],1,$A$1)&amp;""</f>
        <v>Inicio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153</v>
      </c>
      <c r="G14" s="2" t="s">
        <v>156</v>
      </c>
    </row>
    <row r="15" spans="1:7">
      <c r="A15" s="36" t="str" cm="1">
        <f t="array" aca="1" ref="A15" ca="1">INDEX(TablaIdiomas[#This Row],1,$A$1)&amp;""</f>
        <v>Previsto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</row>
    <row r="16" spans="1:7">
      <c r="A16" s="32" t="str" cm="1">
        <f t="array" aca="1" ref="A16" ca="1">INDEX(TablaIdiomas[#This Row],1,$A$1)&amp;""</f>
        <v>Final</v>
      </c>
      <c r="B16" s="2" t="s">
        <v>163</v>
      </c>
      <c r="C16" s="2" t="s">
        <v>163</v>
      </c>
      <c r="D16" s="2" t="s">
        <v>164</v>
      </c>
      <c r="E16" s="2" t="s">
        <v>164</v>
      </c>
      <c r="F16" s="2" t="s">
        <v>164</v>
      </c>
      <c r="G16" s="2" t="s">
        <v>163</v>
      </c>
    </row>
    <row r="17" spans="1:7">
      <c r="A17" s="36" t="str" cm="1">
        <f t="array" aca="1" ref="A17" ca="1">INDEX(TablaIdiomas[#This Row],1,$A$1)&amp;""</f>
        <v>Duración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</row>
    <row r="18" spans="1:7">
      <c r="A18" s="32" t="str" cm="1">
        <f t="array" aca="1" ref="A18" ca="1">INDEX(TablaIdiomas[#This Row],1,$A$1)&amp;""</f>
        <v>Retraso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</row>
    <row r="19" spans="1:7">
      <c r="A19" s="36" t="str" cm="1">
        <f t="array" aca="1" ref="A19" ca="1">INDEX(TablaIdiomas[#This Row],1,$A$1)&amp;""</f>
        <v>Asignado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</row>
    <row r="20" spans="1:7">
      <c r="A20" s="32" t="str" cm="1">
        <f t="array" aca="1" ref="A20" ca="1">INDEX(TablaIdiomas[#This Row],1,$A$1)&amp;""</f>
        <v>Filtro</v>
      </c>
      <c r="B20" s="2" t="s">
        <v>183</v>
      </c>
      <c r="C20" s="2" t="s">
        <v>184</v>
      </c>
      <c r="D20" s="2" t="s">
        <v>185</v>
      </c>
      <c r="E20" s="2" t="s">
        <v>183</v>
      </c>
      <c r="F20" s="2" t="s">
        <v>184</v>
      </c>
      <c r="G20" s="2" t="s">
        <v>183</v>
      </c>
    </row>
    <row r="21" spans="1:7">
      <c r="A21" s="36" t="str" cm="1">
        <f t="array" aca="1" ref="A21" ca="1">INDEX(TablaIdiomas[#This Row],1,$A$1)&amp;""</f>
        <v>Celda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190</v>
      </c>
      <c r="G21" s="2" t="s">
        <v>191</v>
      </c>
    </row>
    <row r="22" spans="1:7">
      <c r="A22" s="32" t="str" cm="1">
        <f t="array" aca="1" ref="A22" ca="1">INDEX(TablaIdiomas[#This Row],1,$A$1)&amp;""</f>
        <v>Tarjetas con</v>
      </c>
      <c r="B22" s="2" t="s">
        <v>192</v>
      </c>
      <c r="C22" s="2" t="s">
        <v>193</v>
      </c>
      <c r="D22" s="2" t="s">
        <v>194</v>
      </c>
      <c r="E22" s="2" t="s">
        <v>195</v>
      </c>
      <c r="F22" s="2" t="s">
        <v>196</v>
      </c>
      <c r="G22" s="2" t="s">
        <v>197</v>
      </c>
    </row>
    <row r="23" spans="1:7">
      <c r="A23" s="36" t="str" cm="1">
        <f t="array" aca="1" ref="A23" ca="1">INDEX(TablaIdiomas[#This Row],1,$A$1)&amp;""</f>
        <v>líneas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</row>
    <row r="24" spans="1:7">
      <c r="A24" s="32" t="str" cm="1">
        <f t="array" aca="1" ref="A24" ca="1">INDEX(TablaIdiomas[#This Row],1,$A$1)&amp;""</f>
        <v>tareas asignadas a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</row>
    <row r="25" spans="1:7">
      <c r="A25" s="36" t="str" cm="1">
        <f t="array" aca="1" ref="A25" ca="1">INDEX(TablaIdiomas[#This Row],1,$A$1)&amp;""</f>
        <v>Con criticidad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  <c r="G25" s="2" t="s">
        <v>215</v>
      </c>
    </row>
    <row r="26" spans="1:7">
      <c r="A26" s="32" t="str" cm="1">
        <f t="array" aca="1" ref="A26" ca="1">INDEX(TablaIdiomas[#This Row],1,$A$1)&amp;""</f>
        <v>Con inicio desde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</row>
    <row r="27" spans="1:7">
      <c r="A27" s="36" t="str" cm="1">
        <f t="array" aca="1" ref="A27" ca="1">INDEX(TablaIdiomas[#This Row],1,$A$1)&amp;""</f>
        <v>Con el texto</v>
      </c>
      <c r="B27" s="2" t="s">
        <v>222</v>
      </c>
      <c r="C27" s="2" t="s">
        <v>223</v>
      </c>
      <c r="D27" s="2" t="s">
        <v>224</v>
      </c>
      <c r="E27" s="2" t="s">
        <v>225</v>
      </c>
      <c r="F27" s="2" t="s">
        <v>226</v>
      </c>
      <c r="G27" s="2" t="s">
        <v>227</v>
      </c>
    </row>
    <row r="28" spans="1:7">
      <c r="A28" s="32" t="str" cm="1">
        <f t="array" aca="1" ref="A28" ca="1">INDEX(TablaIdiomas[#This Row],1,$A$1)&amp;""</f>
        <v>Con un retraso &gt;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233</v>
      </c>
    </row>
    <row r="29" spans="1:7">
      <c r="A29" s="36" t="str" cm="1">
        <f t="array" aca="1" ref="A29" ca="1">INDEX(TablaIdiomas[#This Row],1,$A$1)&amp;""</f>
        <v>días</v>
      </c>
      <c r="B29" s="2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</row>
    <row r="30" spans="1:7">
      <c r="A30" s="32" t="str" cm="1">
        <f t="array" aca="1" ref="A30" ca="1">INDEX(TablaIdiomas[#This Row],1,$A$1)&amp;""</f>
        <v>Orden en tarjetas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246</v>
      </c>
      <c r="C31" s="2" t="s">
        <v>247</v>
      </c>
      <c r="D31" s="2" t="s">
        <v>248</v>
      </c>
      <c r="E31" s="2" t="s">
        <v>249</v>
      </c>
      <c r="F31" s="2" t="s">
        <v>250</v>
      </c>
      <c r="G31" s="2" t="s">
        <v>251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252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258</v>
      </c>
      <c r="C33" s="2" t="s">
        <v>259</v>
      </c>
      <c r="D33" s="2" t="s">
        <v>260</v>
      </c>
      <c r="E33" s="2" t="s">
        <v>261</v>
      </c>
      <c r="F33" s="2" t="s">
        <v>262</v>
      </c>
      <c r="G33" s="2" t="s">
        <v>263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2026-07-02T14:47:52Z</dcterms:modified>
  <cp:category/>
  <cp:contentStatus/>
</cp:coreProperties>
</file>