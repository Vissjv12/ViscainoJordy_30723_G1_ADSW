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d.docs.live.net/F093C6B364711860/"/>
    </mc:Choice>
  </mc:AlternateContent>
  <xr:revisionPtr revIDLastSave="0" documentId="8_{AEB0073F-C54C-439B-89A7-13A3600B5CAB}" xr6:coauthVersionLast="47" xr6:coauthVersionMax="47" xr10:uidLastSave="{00000000-0000-0000-0000-000000000000}"/>
  <bookViews>
    <workbookView minimized="1" xWindow="5892" yWindow="3708" windowWidth="17280" windowHeight="8880" xr2:uid="{00000000-000D-0000-FFFF-FFFF00000000}"/>
  </bookViews>
  <sheets>
    <sheet name="Matriz Ckeck LIst" sheetId="1" r:id="rId1"/>
    <sheet name="MODELO LISTA DE COMPROBACIO (2)" sheetId="6" r:id="rId2"/>
    <sheet name="MODELO LISTA DE COMPROBACION - " sheetId="2" r:id="rId3"/>
    <sheet name="MODELO LISTA DE COMPROBACIO (3)" sheetId="7" r:id="rId4"/>
    <sheet name="RECOMENDACIONES - CU001.3 (3)" sheetId="9" r:id="rId5"/>
    <sheet name="RECOMENDACIONES - CU001.3 (2)" sheetId="8" r:id="rId6"/>
    <sheet name="RECOMENDACIONES - RQF-011"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7" l="1"/>
  <c r="D35" i="7"/>
  <c r="C36" i="7"/>
  <c r="D36" i="7"/>
  <c r="C27" i="7"/>
  <c r="D27" i="7"/>
  <c r="C28" i="7"/>
  <c r="D28" i="7"/>
  <c r="C17" i="7"/>
  <c r="C18" i="7" s="1"/>
  <c r="D17" i="7"/>
  <c r="D18" i="7" s="1"/>
  <c r="D35" i="6"/>
  <c r="D36" i="6" s="1"/>
  <c r="C35" i="6"/>
  <c r="C36" i="6" s="1"/>
  <c r="D27" i="6"/>
  <c r="D28" i="6" s="1"/>
  <c r="C27" i="6"/>
  <c r="C28" i="6" s="1"/>
  <c r="D17" i="6"/>
  <c r="D18" i="6" s="1"/>
  <c r="C17" i="6"/>
  <c r="C18" i="6" s="1"/>
  <c r="D35" i="2"/>
  <c r="D36" i="2" s="1"/>
  <c r="C35" i="2"/>
  <c r="C36" i="2" s="1"/>
  <c r="D27" i="2"/>
  <c r="D28" i="2" s="1"/>
  <c r="C27" i="2"/>
  <c r="C28" i="2" s="1"/>
  <c r="D17" i="2"/>
  <c r="D18" i="2" s="1"/>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C81FCB72-9324-4521-A8BE-3E9410A249BF}">
      <text>
        <r>
          <rPr>
            <sz val="11"/>
            <color theme="1"/>
            <rFont val="Calibri"/>
            <scheme val="minor"/>
          </rPr>
          <t>jeny ruiz:
Control del nivel de acuedo entre las partes Cliente y Desarrollador</t>
        </r>
      </text>
    </comment>
    <comment ref="H7" authorId="0" shapeId="0" xr:uid="{21478B2C-2115-4A65-A1D6-4BA3686CF565}">
      <text>
        <r>
          <rPr>
            <sz val="11"/>
            <color theme="1"/>
            <rFont val="Calibri"/>
            <scheme val="minor"/>
          </rPr>
          <t>jeny ruiz:
La información contenida en memoria se utiliza para actualizar los campos de la base de datos.</t>
        </r>
      </text>
    </comment>
    <comment ref="I7" authorId="0" shapeId="0" xr:uid="{0689E5F8-2C83-4529-934C-4449A06817CC}">
      <text>
        <r>
          <rPr>
            <sz val="11"/>
            <color theme="1"/>
            <rFont val="Calibri"/>
            <scheme val="minor"/>
          </rPr>
          <t>jeny ruiz:
Control del nivel de acuedo entre las partes Cliente y Desarrollador</t>
        </r>
      </text>
    </comment>
    <comment ref="J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H9" authorId="0" shapeId="0" xr:uid="{26588305-8B76-4E7F-9590-3DCF95E715F3}">
      <text>
        <r>
          <rPr>
            <sz val="11"/>
            <color theme="1"/>
            <rFont val="Calibri"/>
            <scheme val="minor"/>
          </rPr>
          <t>jeny ruiz:
Es importante ingresar el archivo plano en formato excel para el cliente y el desarrollador</t>
        </r>
      </text>
    </comment>
    <comment ref="J9" authorId="0" shapeId="0" xr:uid="{00000000-0006-0000-0000-00000A000000}">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58187E38-DF38-4394-9D2A-A228EB1C61B3}">
      <text>
        <r>
          <rPr>
            <sz val="11"/>
            <color theme="1"/>
            <rFont val="Calibri"/>
            <scheme val="minor"/>
          </rPr>
          <t>ESPE:
COMPLETITUD DOCUMENTO</t>
        </r>
      </text>
    </comment>
    <comment ref="B9" authorId="0" shapeId="0" xr:uid="{F7BF0EB7-651F-4D61-9A60-AF9AB48C7490}">
      <text>
        <r>
          <rPr>
            <sz val="11"/>
            <color theme="1"/>
            <rFont val="Calibri"/>
            <scheme val="minor"/>
          </rPr>
          <t xml:space="preserve">ESPE:
COMPLETITUD REQUISITO INDIVIDUAL
</t>
        </r>
      </text>
    </comment>
    <comment ref="B10" authorId="0" shapeId="0" xr:uid="{E4E04CD7-B818-4CC6-9226-DB2FD0781DC4}">
      <text>
        <r>
          <rPr>
            <sz val="11"/>
            <color theme="1"/>
            <rFont val="Calibri"/>
            <scheme val="minor"/>
          </rPr>
          <t>ESPE:
TRAZABILIDAD</t>
        </r>
      </text>
    </comment>
    <comment ref="B11" authorId="0" shapeId="0" xr:uid="{3498505A-988D-48B3-BE80-2A0E4325FF42}">
      <text>
        <r>
          <rPr>
            <sz val="11"/>
            <color theme="1"/>
            <rFont val="Calibri"/>
            <scheme val="minor"/>
          </rPr>
          <t xml:space="preserve">ESPE:
trazabilidad
</t>
        </r>
      </text>
    </comment>
    <comment ref="B12" authorId="0" shapeId="0" xr:uid="{06740719-691C-41A0-B23F-0540166A8B9B}">
      <text>
        <r>
          <rPr>
            <sz val="11"/>
            <color theme="1"/>
            <rFont val="Calibri"/>
            <scheme val="minor"/>
          </rPr>
          <t xml:space="preserve">ESPE:
TRAZABILIDAD
</t>
        </r>
      </text>
    </comment>
    <comment ref="B13" authorId="0" shapeId="0" xr:uid="{7E6F319A-1068-4654-A8AF-994C10A36326}">
      <text>
        <r>
          <rPr>
            <sz val="11"/>
            <color theme="1"/>
            <rFont val="Calibri"/>
            <scheme val="minor"/>
          </rPr>
          <t xml:space="preserve">ESPE:
CORRECCION
</t>
        </r>
      </text>
    </comment>
    <comment ref="B14" authorId="0" shapeId="0" xr:uid="{C71406BE-512D-470D-9C52-7B5D382CDEE7}">
      <text>
        <r>
          <rPr>
            <sz val="11"/>
            <color theme="1"/>
            <rFont val="Calibri"/>
            <scheme val="minor"/>
          </rPr>
          <t>ESPE:
CONSISTENCIA</t>
        </r>
      </text>
    </comment>
    <comment ref="B15" authorId="0" shapeId="0" xr:uid="{30BD6B8A-CE00-4EF4-8AAF-917D246D032A}">
      <text>
        <r>
          <rPr>
            <sz val="11"/>
            <color theme="1"/>
            <rFont val="Calibri"/>
            <scheme val="minor"/>
          </rPr>
          <t xml:space="preserve">ESPE:
NECESIDAD
</t>
        </r>
      </text>
    </comment>
    <comment ref="B16" authorId="0" shapeId="0" xr:uid="{60E7EDAF-1C90-41F2-9C23-DAA4D172BC66}">
      <text>
        <r>
          <rPr>
            <sz val="11"/>
            <color theme="1"/>
            <rFont val="Calibri"/>
            <scheme val="minor"/>
          </rPr>
          <t xml:space="preserve">ESPE:
verificable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1000000}">
      <text>
        <r>
          <rPr>
            <sz val="11"/>
            <color theme="1"/>
            <rFont val="Calibri"/>
            <scheme val="minor"/>
          </rPr>
          <t>ESPE:
COMPLETITUD DOCUMENTO</t>
        </r>
      </text>
    </comment>
    <comment ref="B9" authorId="0" shapeId="0" xr:uid="{00000000-0006-0000-0100-000002000000}">
      <text>
        <r>
          <rPr>
            <sz val="11"/>
            <color theme="1"/>
            <rFont val="Calibri"/>
            <scheme val="minor"/>
          </rPr>
          <t xml:space="preserve">ESPE:
COMPLETITUD REQUISITO INDIVIDUAL
</t>
        </r>
      </text>
    </comment>
    <comment ref="B10" authorId="0" shapeId="0" xr:uid="{00000000-0006-0000-0100-000003000000}">
      <text>
        <r>
          <rPr>
            <sz val="11"/>
            <color theme="1"/>
            <rFont val="Calibri"/>
            <scheme val="minor"/>
          </rPr>
          <t>ESPE:
TRAZABILIDAD</t>
        </r>
      </text>
    </comment>
    <comment ref="B11" authorId="0" shapeId="0" xr:uid="{00000000-0006-0000-0100-000004000000}">
      <text>
        <r>
          <rPr>
            <sz val="11"/>
            <color theme="1"/>
            <rFont val="Calibri"/>
            <scheme val="minor"/>
          </rPr>
          <t xml:space="preserve">ESPE:
trazabilidad
</t>
        </r>
      </text>
    </comment>
    <comment ref="B12" authorId="0" shapeId="0" xr:uid="{00000000-0006-0000-0100-000005000000}">
      <text>
        <r>
          <rPr>
            <sz val="11"/>
            <color theme="1"/>
            <rFont val="Calibri"/>
            <scheme val="minor"/>
          </rPr>
          <t xml:space="preserve">ESPE:
TRAZABILIDAD
</t>
        </r>
      </text>
    </comment>
    <comment ref="B13" authorId="0" shapeId="0" xr:uid="{00000000-0006-0000-0100-000006000000}">
      <text>
        <r>
          <rPr>
            <sz val="11"/>
            <color theme="1"/>
            <rFont val="Calibri"/>
            <scheme val="minor"/>
          </rPr>
          <t xml:space="preserve">ESPE:
CORRECCION
</t>
        </r>
      </text>
    </comment>
    <comment ref="B14" authorId="0" shapeId="0" xr:uid="{00000000-0006-0000-0100-000007000000}">
      <text>
        <r>
          <rPr>
            <sz val="11"/>
            <color theme="1"/>
            <rFont val="Calibri"/>
            <scheme val="minor"/>
          </rPr>
          <t>ESPE:
CONSISTENCIA</t>
        </r>
      </text>
    </comment>
    <comment ref="B15" authorId="0" shapeId="0" xr:uid="{00000000-0006-0000-0100-000008000000}">
      <text>
        <r>
          <rPr>
            <sz val="11"/>
            <color theme="1"/>
            <rFont val="Calibri"/>
            <scheme val="minor"/>
          </rPr>
          <t xml:space="preserve">ESPE:
NECESIDAD
</t>
        </r>
      </text>
    </comment>
    <comment ref="B16" authorId="0" shapeId="0" xr:uid="{00000000-0006-0000-0100-000009000000}">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367D8C1D-BEB0-497B-A9AB-18BFC7ADA20E}">
      <text>
        <r>
          <rPr>
            <sz val="11"/>
            <color theme="1"/>
            <rFont val="Calibri"/>
            <scheme val="minor"/>
          </rPr>
          <t>ESPE:
COMPLETITUD DOCUMENTO</t>
        </r>
      </text>
    </comment>
    <comment ref="B9" authorId="0" shapeId="0" xr:uid="{36432E68-104C-47D9-9B1E-A83891C60C41}">
      <text>
        <r>
          <rPr>
            <sz val="11"/>
            <color theme="1"/>
            <rFont val="Calibri"/>
            <scheme val="minor"/>
          </rPr>
          <t xml:space="preserve">ESPE:
COMPLETITUD REQUISITO INDIVIDUAL
</t>
        </r>
      </text>
    </comment>
    <comment ref="B10" authorId="0" shapeId="0" xr:uid="{2C765205-FBA0-4744-AA48-72DD7D339B47}">
      <text>
        <r>
          <rPr>
            <sz val="11"/>
            <color theme="1"/>
            <rFont val="Calibri"/>
            <scheme val="minor"/>
          </rPr>
          <t>ESPE:
TRAZABILIDAD</t>
        </r>
      </text>
    </comment>
    <comment ref="B11" authorId="0" shapeId="0" xr:uid="{810825B8-AD3B-405F-AE54-1375707C11EA}">
      <text>
        <r>
          <rPr>
            <sz val="11"/>
            <color theme="1"/>
            <rFont val="Calibri"/>
            <scheme val="minor"/>
          </rPr>
          <t xml:space="preserve">ESPE:
trazabilidad
</t>
        </r>
      </text>
    </comment>
    <comment ref="B12" authorId="0" shapeId="0" xr:uid="{529D90B1-36BB-4F75-A1C8-72C2A07EB51B}">
      <text>
        <r>
          <rPr>
            <sz val="11"/>
            <color theme="1"/>
            <rFont val="Calibri"/>
            <scheme val="minor"/>
          </rPr>
          <t xml:space="preserve">ESPE:
TRAZABILIDAD
</t>
        </r>
      </text>
    </comment>
    <comment ref="B13" authorId="0" shapeId="0" xr:uid="{A76ED0A1-947C-4057-A842-3ACD3DC885F2}">
      <text>
        <r>
          <rPr>
            <sz val="11"/>
            <color theme="1"/>
            <rFont val="Calibri"/>
            <scheme val="minor"/>
          </rPr>
          <t xml:space="preserve">ESPE:
CORRECCION
</t>
        </r>
      </text>
    </comment>
    <comment ref="B14" authorId="0" shapeId="0" xr:uid="{08BB2AEE-DBBC-4A77-A4D6-A039435D118F}">
      <text>
        <r>
          <rPr>
            <sz val="11"/>
            <color theme="1"/>
            <rFont val="Calibri"/>
            <scheme val="minor"/>
          </rPr>
          <t>ESPE:
CONSISTENCIA</t>
        </r>
      </text>
    </comment>
    <comment ref="B15" authorId="0" shapeId="0" xr:uid="{4642FEB4-1CCF-46F4-8F7F-B0AB3F44BBE7}">
      <text>
        <r>
          <rPr>
            <sz val="11"/>
            <color theme="1"/>
            <rFont val="Calibri"/>
            <scheme val="minor"/>
          </rPr>
          <t xml:space="preserve">ESPE:
NECESIDAD
</t>
        </r>
      </text>
    </comment>
    <comment ref="B16" authorId="0" shapeId="0" xr:uid="{7F5C7477-0C3E-4A66-A2BB-89A1E847A323}">
      <text>
        <r>
          <rPr>
            <sz val="11"/>
            <color theme="1"/>
            <rFont val="Calibri"/>
            <scheme val="minor"/>
          </rPr>
          <t xml:space="preserve">ESPE:
verificable 
</t>
        </r>
      </text>
    </comment>
  </commentList>
</comments>
</file>

<file path=xl/sharedStrings.xml><?xml version="1.0" encoding="utf-8"?>
<sst xmlns="http://schemas.openxmlformats.org/spreadsheetml/2006/main" count="314" uniqueCount="114">
  <si>
    <t>MATRIZ PARA COMPROBACIÓN REQUERIMIENTOS DE CALIDAD DE PROYECTO ACADEMICO</t>
  </si>
  <si>
    <t>SISTEMA:</t>
  </si>
  <si>
    <t>Sistema de gestión de papelería (PaperBoost)</t>
  </si>
  <si>
    <t>Requerimientos  Funcionales</t>
  </si>
  <si>
    <t>Nº</t>
  </si>
  <si>
    <t>CRITERIOS DE CALIDAD (Documento/Requerimientos)</t>
  </si>
  <si>
    <t>Status
Nivel de Acuerdo</t>
  </si>
  <si>
    <t xml:space="preserve">
RQF-007 Registro de producto manual
</t>
  </si>
  <si>
    <t>RQF-011 Consulta de productos en inventario</t>
  </si>
  <si>
    <t>RQF-013  Editar datos de producto</t>
  </si>
  <si>
    <t>Agreed</t>
  </si>
  <si>
    <t>OK</t>
  </si>
  <si>
    <t>1. Se cuenta con una entrevista con el cliente. 
2. Se presento al cliente el flujo de ejecucion del requisito.</t>
  </si>
  <si>
    <t>1, El requisito se encuentra documentado en el SRS como RQF-011.
2, Está asociado al caso de uso CUC-06 dentro del documento.</t>
  </si>
  <si>
    <t>1. El requisito es fundamental debido al manejo de inventario siendo el problema central</t>
  </si>
  <si>
    <t>Ranked</t>
  </si>
  <si>
    <t>1. En la columna de importancia del requisito se especifica la prioridad Alta</t>
  </si>
  <si>
    <t>1. En la descripción del caso de Uso se especifica la prioridad Alta</t>
  </si>
  <si>
    <t>1. En la columna de importancia del requisito de edición del producto nota que es Alta</t>
  </si>
  <si>
    <t>Unambiguos</t>
  </si>
  <si>
    <t>1. Se especifica de manera detallada el requisitos, asi como de donde proviene.</t>
  </si>
  <si>
    <t>1. El requisito especifica de forma clara los datos que debe mostrar.
2. También indica que se debe resaltar visualmente el stock bajo o agotado.</t>
  </si>
  <si>
    <t>NOK</t>
  </si>
  <si>
    <t>1. No se detalla los campos que se pueden editar y lo que no se pueden editar.</t>
  </si>
  <si>
    <t>Valid and up-to date</t>
  </si>
  <si>
    <t xml:space="preserve">1. El requisito esta actualizado en base a los cambios solicitados por el cliente y el revisor.                                                                                           </t>
  </si>
  <si>
    <t>1. El documento presenta control de versiones.
2. El SRS fue actualizado a la versión 5.1 con incorporación de casos de uso.</t>
  </si>
  <si>
    <t>1. Control de cambios al inicio del documento</t>
  </si>
  <si>
    <t>Correct</t>
  </si>
  <si>
    <t>1. Está alineado con los objetivos del sistema.                                                                                                                                                                                                                        2. Refleja las necesidades de los usuarios.</t>
  </si>
  <si>
    <t>1. Está alineado con los objetivos del sistema de mejorar el control del inventario.
2. Responde a la necesidad del negocio de conocer disponibilidad, cantidades y faltantes.</t>
  </si>
  <si>
    <t>1. Alineado con los objetivos del sistema</t>
  </si>
  <si>
    <t>Consisten</t>
  </si>
  <si>
    <t>1. Documentación basada en modelos: Diagrama de Casos de Uso
2. Usa términos definidos previamente.                                                                                                                                                                                       3. Verificado bajo matriz de trazabilidad de requisitos.</t>
  </si>
  <si>
    <t>1. Es consistente con la funcionalidad general de gestión de inventario.
2. Se complementa con RQF-012, que añade búsqueda, filtros y ordenamiento.</t>
  </si>
  <si>
    <t>1. No contradice a ningun ya que fue verificado con la matriz de trazabilidad de requisitos</t>
  </si>
  <si>
    <t>Verificable</t>
  </si>
  <si>
    <t>1. Requisito Medible
2. Se dispone de los casos de prueba
3. Se cuenta con diagramas de casos de uso asi como los casos de uso del mismo requisito.</t>
  </si>
  <si>
    <t>1. Es un requisito medible porque permite comprobar si se muestran los campos definidos.
2. También se puede verificar si el sistema destaca productos con stock bajo o agotado.</t>
  </si>
  <si>
    <t>1. El caso de uso acorde al requisito  si denota el esfuerzo</t>
  </si>
  <si>
    <t>Realizable</t>
  </si>
  <si>
    <t xml:space="preserve">1. No cuenta con la organizacion necesaria para su implementacion.                                                                   
2. El requisito no puede ser realizable dado que no se dispone de un planeamiento para su implementacion
3. No se ha desarrollado </t>
  </si>
  <si>
    <t>1. No se evidencia en el documento un plan de implementación o desarrollo del requisito.
2. La viabilidad técnica se asume, pero no está demostrada con evidencia de realización.</t>
  </si>
  <si>
    <t>1. Requisito estimado no comprobado</t>
  </si>
  <si>
    <t>Traceable</t>
  </si>
  <si>
    <t xml:space="preserve">1. El requisito se relaciona correctamente con el caso de uso pero no con lo demas requisitos en base a un diagrama o alguna otra técnica.                                                                                                                                                                                                                                               </t>
  </si>
  <si>
    <t>1. El requisito se relaciona con el caso de uso CUC-06.
2. Sin embargo, no se muestra una trazabilidad completa con otros artefactos como diseño, pruebas o reglas detalladas.</t>
  </si>
  <si>
    <t>1. En el documento de requisitos no está explicito la relación como en el diagrama de caso de uso</t>
  </si>
  <si>
    <t>Complete</t>
  </si>
  <si>
    <t>1. La descripcion del requisito asi como su respectivo caso de uso y sus diferentes caracterisitcas estan detalladas en el documento.</t>
  </si>
  <si>
    <t>1. La descripción del requisito y su caso de uso permiten comprender su funcionamiento general.</t>
  </si>
  <si>
    <t>1. Falta información detallada de los campos editables tanto en el requisito como en el caso de uso</t>
  </si>
  <si>
    <t>Understandability</t>
  </si>
  <si>
    <t>1. Se involucra al cliente pero debido a la falta de glosario y poca correlacion entre los requisitos no es entendible en su totalidad.</t>
  </si>
  <si>
    <t>1. No cuenta con un glosario suficientemente detallado para guiar la interpretación del requisito.</t>
  </si>
  <si>
    <t>FECHA:</t>
  </si>
  <si>
    <t>AUTOR:</t>
  </si>
  <si>
    <t>Lucas Góngora</t>
  </si>
  <si>
    <t>REQUERIMIENTOS EVALUADOS :</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</si>
  <si>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</si>
  <si>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</si>
  <si>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</si>
  <si>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</si>
  <si>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</si>
  <si>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</si>
  <si>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</si>
  <si>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</si>
  <si>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</si>
  <si>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</si>
  <si>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</si>
  <si>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</si>
  <si>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</si>
  <si>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</si>
  <si>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</si>
  <si>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</si>
  <si>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</si>
  <si>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</si>
  <si>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documentación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</si>
  <si>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</si>
  <si>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</si>
  <si>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</si>
  <si>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</si>
  <si>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</si>
  <si>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</si>
  <si>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</si>
  <si>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</si>
  <si>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</si>
  <si>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</si>
  <si>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 xml:space="preserve">Sistema de gestión de papelería (PaperBoost)	</t>
  </si>
  <si>
    <t>Klever Jami</t>
  </si>
  <si>
    <t>x</t>
  </si>
  <si>
    <t>Aplica un estandar para la documetación de requerimiento?</t>
  </si>
  <si>
    <t>Viscaino Jordy</t>
  </si>
  <si>
    <t>RQF-007 Registro de producto manual</t>
  </si>
  <si>
    <t>PREGUNTA</t>
  </si>
  <si>
    <t>RECOMENDACIÓN</t>
  </si>
  <si>
    <t>¿Se han validado y aprobado formalmente todos los entregables de la entrevista (videoconferencia, minuta, acta de aceptación)?</t>
  </si>
  <si>
    <t>Establecer firmas digitales o un acta de reunión oficial tras cada sesión de descubrimiento, de modo que quede constancia inequívoca de la aprobación de alcance y contenido por parte de tutor, cliente y equipo.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</si>
  <si>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</si>
  <si>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</si>
  <si>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¿El documento de SRS cumple con la estructura definida por el estandar IEEE?</t>
  </si>
  <si>
    <t>Seguir formalmente un estandar como IEEE 830 O ISO 29148 como plantilla base para el desarrollo del SRS, asegurando todas las secciones requeridas.</t>
  </si>
  <si>
    <t>¿Se han incluido artefactos de modelado suficientes (casos de uso, diagramas) para asegurar la completitud y validación de los requisitos del sistema?</t>
  </si>
  <si>
    <t>Es necesario que el documento contenga artefactos de modelado estandar con el fin de que se validen los requisitos y sean entendible y modificables.</t>
  </si>
  <si>
    <t>¿Se ha utilizado un documento estandarizado segun la IEEE 830 para realizar el SRS?</t>
  </si>
  <si>
    <t xml:space="preserve">se recomienda seguir como base un documento estándar </t>
  </si>
  <si>
    <t>¿Los campos del producto han sido detallado en el documento?</t>
  </si>
  <si>
    <t>se recomienda en la descripción del requisito ser detallado con lo que ingresa el usuario</t>
  </si>
  <si>
    <t>¿Los casos de uso y demas anexos están presentes en el documento SRS ?</t>
  </si>
  <si>
    <t>Se recomienda anexar archivos que respalden o justifiquen los requisitos establecidos</t>
  </si>
  <si>
    <t xml:space="preserve">¿Cómo se demostrará que RQF-011 puede implementarse realmente en el sistema? </t>
  </si>
  <si>
    <t>Incorporar evidencia técnica como prototipo, diseño o planificación de implementación para validar su viabilidad.</t>
  </si>
  <si>
    <t>¿Cómo se mejorará la trazabilidad y comprensión del requisito RQF-011 dentro del SRS?</t>
  </si>
  <si>
    <t>Añadir trazabilidad con pruebas, diseño y reglas del negocio, además de detallar mejor términos y flujo del requisito.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</si>
</sst>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2"/>
      <color rgb="FF27251E"/>
      <name val="PplxSerif"/>
      <charset val="1"/>
    </font>
    <font>
      <b/>
      <sz val="11"/>
      <color theme="1"/>
      <name val="Arial"/>
      <family val="2"/>
    </font>
    <font>
      <sz val="11"/>
      <color theme="1"/>
      <name val="Arial"/>
      <family val="2"/>
    </font>
    <font>
      <b/>
      <sz val="16"/>
      <color theme="1"/>
      <name val="Calibri"/>
      <family val="2"/>
    </font>
    <font>
      <b/>
      <sz val="14"/>
      <color rgb="FFFFFFFF"/>
      <name val="Calibri"/>
      <family val="2"/>
    </font>
  </fonts>
  <fills count="9">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
      <patternFill patternType="solid">
        <fgColor rgb="FFF2F2F2"/>
        <bgColor indexed="64"/>
      </patternFill>
    </fill>
  </fills>
  <borders count="1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69">
    <xf numFmtId="0" fontId="0" fillId="0" borderId="0" xfId="0"/>
    <xf numFmtId="0" fontId="1" fillId="0" borderId="0" xfId="0" applyFont="1" applyAlignment="1">
      <alignment horizontal="center"/>
    </xf>
    <xf numFmtId="0" fontId="3" fillId="0" borderId="0" xfId="0" applyFont="1" applyAlignment="1">
      <alignment horizontal="center" vertical="center" wrapText="1"/>
    </xf>
    <xf numFmtId="0" fontId="10" fillId="4"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0" xfId="0" applyFont="1"/>
    <xf numFmtId="0" fontId="11" fillId="3" borderId="5" xfId="0" applyFont="1" applyFill="1" applyBorder="1" applyAlignment="1">
      <alignment vertical="center" wrapText="1"/>
    </xf>
    <xf numFmtId="0" fontId="11" fillId="3" borderId="5" xfId="0" applyFont="1" applyFill="1" applyBorder="1" applyAlignment="1">
      <alignment horizontal="left" vertical="center" wrapText="1"/>
    </xf>
    <xf numFmtId="0" fontId="10" fillId="5" borderId="5"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7"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wrapText="1"/>
    </xf>
    <xf numFmtId="0" fontId="8" fillId="0" borderId="2" xfId="0" applyFont="1" applyBorder="1" applyAlignment="1">
      <alignment horizontal="center" vertical="center"/>
    </xf>
    <xf numFmtId="0" fontId="8" fillId="0" borderId="0" xfId="0" applyFont="1"/>
    <xf numFmtId="9" fontId="8" fillId="0" borderId="0" xfId="0" applyNumberFormat="1" applyFont="1"/>
    <xf numFmtId="0" fontId="8" fillId="0" borderId="3" xfId="0" applyFont="1" applyBorder="1" applyAlignment="1">
      <alignment horizontal="center" vertical="center"/>
    </xf>
    <xf numFmtId="0" fontId="16" fillId="7" borderId="5" xfId="0" applyFont="1" applyFill="1" applyBorder="1" applyAlignment="1">
      <alignment horizontal="center" vertical="center"/>
    </xf>
    <xf numFmtId="0" fontId="8" fillId="0" borderId="5" xfId="0" applyFont="1" applyBorder="1" applyAlignment="1">
      <alignment wrapText="1"/>
    </xf>
    <xf numFmtId="0" fontId="8" fillId="0" borderId="8" xfId="0" applyFont="1" applyBorder="1" applyAlignment="1">
      <alignment horizontal="center" vertical="center"/>
    </xf>
    <xf numFmtId="0" fontId="8" fillId="0" borderId="6"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0" fillId="0" borderId="5" xfId="0" applyBorder="1"/>
    <xf numFmtId="0" fontId="0" fillId="0" borderId="3" xfId="0" applyBorder="1"/>
    <xf numFmtId="0" fontId="0" fillId="0" borderId="2" xfId="0" applyBorder="1"/>
    <xf numFmtId="0" fontId="0" fillId="0" borderId="0" xfId="0" applyAlignment="1">
      <alignment wrapText="1"/>
    </xf>
    <xf numFmtId="0" fontId="17" fillId="0" borderId="0" xfId="0" applyFont="1" applyAlignment="1">
      <alignment wrapText="1"/>
    </xf>
    <xf numFmtId="0" fontId="0" fillId="0" borderId="0" xfId="0"/>
    <xf numFmtId="0" fontId="18" fillId="8" borderId="12" xfId="0" applyFont="1" applyFill="1" applyBorder="1" applyAlignment="1">
      <alignment horizontal="left" vertical="center" wrapText="1"/>
    </xf>
    <xf numFmtId="0" fontId="19" fillId="0" borderId="12" xfId="0" applyFont="1" applyBorder="1" applyAlignment="1">
      <alignment horizontal="left" vertical="center" wrapText="1"/>
    </xf>
    <xf numFmtId="0" fontId="20" fillId="5" borderId="5" xfId="0" applyFont="1" applyFill="1" applyBorder="1" applyAlignment="1">
      <alignment horizontal="center" vertical="center" wrapText="1"/>
    </xf>
    <xf numFmtId="0" fontId="21" fillId="3" borderId="7" xfId="0" applyFont="1" applyFill="1" applyBorder="1" applyAlignment="1">
      <alignment horizontal="left" vertical="center" wrapText="1"/>
    </xf>
    <xf numFmtId="0" fontId="21" fillId="3" borderId="5" xfId="0" applyFont="1" applyFill="1" applyBorder="1" applyAlignment="1">
      <alignment vertical="center" wrapText="1"/>
    </xf>
    <xf numFmtId="0" fontId="21" fillId="3" borderId="5" xfId="0" applyFont="1" applyFill="1" applyBorder="1" applyAlignment="1">
      <alignment horizontal="left" vertical="center" wrapText="1"/>
    </xf>
    <xf numFmtId="0" fontId="21" fillId="3" borderId="8" xfId="0" applyFont="1" applyFill="1" applyBorder="1" applyAlignment="1">
      <alignment horizontal="left" vertical="center" wrapText="1"/>
    </xf>
    <xf numFmtId="0" fontId="13" fillId="0" borderId="0" xfId="0" applyFont="1" applyAlignment="1">
      <alignment horizontal="left" vertical="center"/>
    </xf>
    <xf numFmtId="0" fontId="2" fillId="0" borderId="0" xfId="0" applyFont="1" applyAlignment="1">
      <alignment horizontal="center" vertical="center" wrapText="1"/>
    </xf>
    <xf numFmtId="0" fontId="9" fillId="3" borderId="6"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5" fillId="0" borderId="8" xfId="0" applyFont="1" applyBorder="1" applyAlignment="1"/>
    <xf numFmtId="0" fontId="6" fillId="2" borderId="2" xfId="0" applyFont="1" applyFill="1" applyBorder="1" applyAlignment="1">
      <alignment horizontal="center" vertical="center" wrapText="1"/>
    </xf>
    <xf numFmtId="0" fontId="5" fillId="0" borderId="9" xfId="0" applyFont="1" applyBorder="1" applyAlignment="1"/>
    <xf numFmtId="0" fontId="6" fillId="2" borderId="3" xfId="0" applyFont="1" applyFill="1" applyBorder="1" applyAlignment="1">
      <alignment horizontal="center" vertical="center" wrapText="1"/>
    </xf>
    <xf numFmtId="0" fontId="5" fillId="0" borderId="4" xfId="0" applyFont="1" applyBorder="1" applyAlignment="1"/>
    <xf numFmtId="0" fontId="5" fillId="0" borderId="10" xfId="0" applyFont="1" applyBorder="1" applyAlignment="1"/>
    <xf numFmtId="0" fontId="5" fillId="0" borderId="7" xfId="0" applyFont="1" applyBorder="1" applyAlignment="1"/>
    <xf numFmtId="0" fontId="7" fillId="2" borderId="2"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Alignment="1"/>
    <xf numFmtId="0" fontId="3" fillId="0" borderId="0" xfId="0" applyFont="1" applyAlignment="1">
      <alignment horizontal="left" vertical="center" wrapText="1"/>
    </xf>
    <xf numFmtId="0" fontId="4" fillId="2" borderId="6" xfId="0" applyFont="1" applyFill="1" applyBorder="1" applyAlignment="1">
      <alignment horizontal="center" vertical="center"/>
    </xf>
    <xf numFmtId="0" fontId="5" fillId="0" borderId="1" xfId="0" applyFont="1" applyBorder="1" applyAlignment="1"/>
    <xf numFmtId="0" fontId="13" fillId="0" borderId="0" xfId="0" applyFont="1" applyAlignment="1">
      <alignment horizontal="left" vertic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5" fillId="0" borderId="0" xfId="0" applyFont="1" applyAlignment="1">
      <alignment horizontal="center" vertical="center"/>
    </xf>
    <xf numFmtId="0" fontId="13" fillId="0" borderId="0" xfId="0" applyFont="1" applyAlignment="1">
      <alignment horizontal="center"/>
    </xf>
    <xf numFmtId="0" fontId="15" fillId="0" borderId="11" xfId="0" applyFont="1" applyBorder="1" applyAlignment="1">
      <alignment horizontal="center" vertical="center"/>
    </xf>
    <xf numFmtId="0" fontId="5" fillId="0" borderId="11" xfId="0" applyFont="1" applyBorder="1" applyAlignment="1"/>
  </cellXfs>
  <cellStyles count="1">
    <cellStyle name="Normal" xfId="0" builtinId="0"/>
  </cellStyles>
  <dxfs count="55">
    <dxf>
      <font>
        <color rgb="FF006100"/>
      </font>
      <fill>
        <patternFill patternType="solid">
          <fgColor rgb="FFC6EFCE"/>
          <bgColor rgb="FFC6EF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FF0000"/>
      </font>
      <fill>
        <patternFill patternType="none"/>
      </fill>
    </dxf>
    <dxf>
      <font>
        <b/>
      </font>
      <fill>
        <patternFill patternType="solid">
          <fgColor rgb="FFFF0000"/>
          <bgColor rgb="FFFF0000"/>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4"/>
      <tableStyleElement type="firstRowStripe" dxfId="53"/>
      <tableStyleElement type="secondRowStripe" dxfId="52"/>
    </tableStyle>
    <tableStyle name="MODELO LISTA DE COMPROBACION - -style 2" pivot="0" count="3" xr9:uid="{00000000-0011-0000-FFFF-FFFF01000000}">
      <tableStyleElement type="headerRow" dxfId="51"/>
      <tableStyleElement type="firstRowStripe" dxfId="50"/>
      <tableStyleElement type="secondRowStripe" dxfId="49"/>
    </tableStyle>
    <tableStyle name="MODELO LISTA DE COMPROBACION - -style 3" pivot="0" count="3" xr9:uid="{00000000-0011-0000-FFFF-FFFF02000000}">
      <tableStyleElement type="headerRow" dxfId="48"/>
      <tableStyleElement type="firstRowStripe" dxfId="47"/>
      <tableStyleElement type="secondRowStripe" dxfId="46"/>
    </tableStyle>
    <tableStyle name="Hoja 1-style" pivot="0" count="3" xr9:uid="{00000000-0011-0000-FFFF-FFFF03000000}">
      <tableStyleElement type="headerRow" dxfId="45"/>
      <tableStyleElement type="firstRowStripe" dxfId="44"/>
      <tableStyleElement type="secondRowStripe" dxfId="43"/>
    </tableStyle>
    <tableStyle name="Hoja 1-style 2" pivot="0" count="3" xr9:uid="{00000000-0011-0000-FFFF-FFFF04000000}">
      <tableStyleElement type="headerRow" dxfId="42"/>
      <tableStyleElement type="firstRowStripe" dxfId="41"/>
      <tableStyleElement type="secondRowStripe" dxfId="40"/>
    </tableStyle>
    <tableStyle name="Hoja 1-style 3" pivot="0" count="3" xr9:uid="{00000000-0011-0000-FFFF-FFFF05000000}">
      <tableStyleElement type="headerRow" dxfId="39"/>
      <tableStyleElement type="firstRowStripe" dxfId="38"/>
      <tableStyleElement type="secondRowStripe" dxfId="37"/>
    </tableStyle>
    <tableStyle name="MODELO DE LISTA DE COMPROBACION-style" pivot="0" count="3" xr9:uid="{00000000-0011-0000-FFFF-FFFF06000000}">
      <tableStyleElement type="headerRow" dxfId="36"/>
      <tableStyleElement type="firstRowStripe" dxfId="35"/>
      <tableStyleElement type="secondRowStripe" dxfId="34"/>
    </tableStyle>
    <tableStyle name="MODELO DE LISTA DE COMPROBACION-style 2" pivot="0" count="3" xr9:uid="{00000000-0011-0000-FFFF-FFFF07000000}">
      <tableStyleElement type="headerRow" dxfId="33"/>
      <tableStyleElement type="firstRowStripe" dxfId="32"/>
      <tableStyleElement type="secondRowStripe" dxfId="31"/>
    </tableStyle>
    <tableStyle name="MODELO DE LISTA DE COMPROBACION-style 3" pivot="0" count="3" xr9:uid="{00000000-0011-0000-FFFF-FFFF08000000}">
      <tableStyleElement type="headerRow" dxfId="30"/>
      <tableStyleElement type="firstRowStripe" dxfId="29"/>
      <tableStyleElement type="secondRowStripe" dxfId="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2CAF-4343-92E7-E42C06126686}"/>
              </c:ext>
            </c:extLst>
          </c:dPt>
          <c:dPt>
            <c:idx val="1"/>
            <c:bubble3D val="0"/>
            <c:spPr>
              <a:solidFill>
                <a:srgbClr val="C0504D"/>
              </a:solidFill>
            </c:spPr>
            <c:extLst>
              <c:ext xmlns:c16="http://schemas.microsoft.com/office/drawing/2014/chart" uri="{C3380CC4-5D6E-409C-BE32-E72D297353CC}">
                <c16:uniqueId val="{00000003-2CAF-4343-92E7-E42C06126686}"/>
              </c:ext>
            </c:extLst>
          </c:dPt>
          <c:dPt>
            <c:idx val="2"/>
            <c:bubble3D val="0"/>
            <c:spPr>
              <a:solidFill>
                <a:srgbClr val="9BBB59"/>
              </a:solidFill>
            </c:spPr>
            <c:extLst>
              <c:ext xmlns:c16="http://schemas.microsoft.com/office/drawing/2014/chart" uri="{C3380CC4-5D6E-409C-BE32-E72D297353CC}">
                <c16:uniqueId val="{00000005-2CAF-4343-92E7-E42C06126686}"/>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(2)'!$B$41:$B$43</c:f>
              <c:strCache>
                <c:ptCount val="3"/>
                <c:pt idx="0">
                  <c:v>CONTENIDO </c:v>
                </c:pt>
                <c:pt idx="1">
                  <c:v>DOCUMENTACIÓN</c:v>
                </c:pt>
                <c:pt idx="2">
                  <c:v>NIVEL DE ACUERDO</c:v>
                </c:pt>
              </c:strCache>
            </c:strRef>
          </c:cat>
          <c:val>
            <c:numRef>
              <c:f>'MODELO LISTA DE COMPROBACIO (2)'!$C$41:$C$43</c:f>
              <c:numCache>
                <c:formatCode>General</c:formatCode>
                <c:ptCount val="3"/>
                <c:pt idx="0">
                  <c:v>67</c:v>
                </c:pt>
                <c:pt idx="1">
                  <c:v>80</c:v>
                </c:pt>
                <c:pt idx="2">
                  <c:v>100</c:v>
                </c:pt>
              </c:numCache>
            </c:numRef>
          </c:val>
          <c:extLst>
            <c:ext xmlns:c16="http://schemas.microsoft.com/office/drawing/2014/chart" uri="{C3380CC4-5D6E-409C-BE32-E72D297353CC}">
              <c16:uniqueId val="{00000006-2CAF-4343-92E7-E42C06126686}"/>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0F20-4507-A285-7B504EA12AEA}"/>
              </c:ext>
            </c:extLst>
          </c:dPt>
          <c:dPt>
            <c:idx val="1"/>
            <c:bubble3D val="0"/>
            <c:spPr>
              <a:solidFill>
                <a:srgbClr val="C0504D"/>
              </a:solidFill>
            </c:spPr>
            <c:extLst>
              <c:ext xmlns:c16="http://schemas.microsoft.com/office/drawing/2014/chart" uri="{C3380CC4-5D6E-409C-BE32-E72D297353CC}">
                <c16:uniqueId val="{00000003-0F20-4507-A285-7B504EA12AEA}"/>
              </c:ext>
            </c:extLst>
          </c:dPt>
          <c:dPt>
            <c:idx val="2"/>
            <c:bubble3D val="0"/>
            <c:spPr>
              <a:solidFill>
                <a:srgbClr val="9BBB59"/>
              </a:solidFill>
            </c:spPr>
            <c:extLst>
              <c:ext xmlns:c16="http://schemas.microsoft.com/office/drawing/2014/chart" uri="{C3380CC4-5D6E-409C-BE32-E72D297353CC}">
                <c16:uniqueId val="{00000005-0F20-4507-A285-7B504EA12AEA}"/>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 '!$B$41:$B$43</c:f>
              <c:strCache>
                <c:ptCount val="3"/>
                <c:pt idx="0">
                  <c:v>CONTENIDO </c:v>
                </c:pt>
                <c:pt idx="1">
                  <c:v>DOCUMENTACIÓN</c:v>
                </c:pt>
                <c:pt idx="2">
                  <c:v>NIVEL DE ACUERDO</c:v>
                </c:pt>
              </c:strCache>
            </c:strRef>
          </c:cat>
          <c:val>
            <c:numRef>
              <c:f>'MODELO LISTA DE COMPROBACION - '!$C$41:$C$43</c:f>
              <c:numCache>
                <c:formatCode>General</c:formatCode>
                <c:ptCount val="3"/>
                <c:pt idx="0">
                  <c:v>67</c:v>
                </c:pt>
                <c:pt idx="1">
                  <c:v>100</c:v>
                </c:pt>
                <c:pt idx="2">
                  <c:v>100</c:v>
                </c:pt>
              </c:numCache>
            </c:numRef>
          </c:val>
          <c:extLst>
            <c:ext xmlns:c16="http://schemas.microsoft.com/office/drawing/2014/chart" uri="{C3380CC4-5D6E-409C-BE32-E72D297353CC}">
              <c16:uniqueId val="{00000006-0F20-4507-A285-7B504EA12AEA}"/>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7D8-4DBF-9D2A-B7D3019EEDE5}"/>
              </c:ext>
            </c:extLst>
          </c:dPt>
          <c:dPt>
            <c:idx val="1"/>
            <c:bubble3D val="0"/>
            <c:spPr>
              <a:solidFill>
                <a:srgbClr val="C0504D"/>
              </a:solidFill>
            </c:spPr>
            <c:extLst>
              <c:ext xmlns:c16="http://schemas.microsoft.com/office/drawing/2014/chart" uri="{C3380CC4-5D6E-409C-BE32-E72D297353CC}">
                <c16:uniqueId val="{00000003-17D8-4DBF-9D2A-B7D3019EEDE5}"/>
              </c:ext>
            </c:extLst>
          </c:dPt>
          <c:dPt>
            <c:idx val="2"/>
            <c:bubble3D val="0"/>
            <c:spPr>
              <a:solidFill>
                <a:srgbClr val="9BBB59"/>
              </a:solidFill>
            </c:spPr>
            <c:extLst>
              <c:ext xmlns:c16="http://schemas.microsoft.com/office/drawing/2014/chart" uri="{C3380CC4-5D6E-409C-BE32-E72D297353CC}">
                <c16:uniqueId val="{00000005-17D8-4DBF-9D2A-B7D3019EEDE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 (3)'!$B$41:$B$43</c:f>
              <c:strCache>
                <c:ptCount val="3"/>
                <c:pt idx="0">
                  <c:v>CONTENIDO </c:v>
                </c:pt>
                <c:pt idx="1">
                  <c:v>DOCUMENTACIÓN</c:v>
                </c:pt>
                <c:pt idx="2">
                  <c:v>NIVEL DE ACUERDO</c:v>
                </c:pt>
              </c:strCache>
            </c:strRef>
          </c:cat>
          <c:val>
            <c:numRef>
              <c:f>'MODELO LISTA DE COMPROBACIO (3)'!$C$41:$C$43</c:f>
              <c:numCache>
                <c:formatCode>General</c:formatCode>
                <c:ptCount val="3"/>
                <c:pt idx="0">
                  <c:v>67</c:v>
                </c:pt>
                <c:pt idx="1">
                  <c:v>100</c:v>
                </c:pt>
                <c:pt idx="2">
                  <c:v>100</c:v>
                </c:pt>
              </c:numCache>
            </c:numRef>
          </c:val>
          <c:extLst>
            <c:ext xmlns:c16="http://schemas.microsoft.com/office/drawing/2014/chart" uri="{C3380CC4-5D6E-409C-BE32-E72D297353CC}">
              <c16:uniqueId val="{00000006-17D8-4DBF-9D2A-B7D3019EEDE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15176</xdr:colOff>
      <xdr:row>36</xdr:row>
      <xdr:rowOff>63575</xdr:rowOff>
    </xdr:from>
    <xdr:ext cx="4286250" cy="2143125"/>
    <xdr:graphicFrame macro="">
      <xdr:nvGraphicFramePr>
        <xdr:cNvPr id="7" name="Chart 1">
          <a:extLst>
            <a:ext uri="{FF2B5EF4-FFF2-40B4-BE49-F238E27FC236}">
              <a16:creationId xmlns:a16="http://schemas.microsoft.com/office/drawing/2014/main" id="{23598081-A5AE-4183-8753-C97C8D3BA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204634</xdr:colOff>
      <xdr:row>34</xdr:row>
      <xdr:rowOff>24889</xdr:rowOff>
    </xdr:from>
    <xdr:ext cx="4286250" cy="2143125"/>
    <xdr:graphicFrame macro="">
      <xdr:nvGraphicFramePr>
        <xdr:cNvPr id="3" name="Chart 1">
          <a:extLst>
            <a:ext uri="{FF2B5EF4-FFF2-40B4-BE49-F238E27FC236}">
              <a16:creationId xmlns:a16="http://schemas.microsoft.com/office/drawing/2014/main" id="{331185AE-15A0-4933-ACC7-C7B83DEA7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50711D-6627-4A03-8553-CE55270099EE}" name="Table_15" displayName="Table_15" ref="A7:D16">
  <tableColumns count="4">
    <tableColumn id="1" xr3:uid="{6B9433A9-8EC0-4DA8-B10E-9CE2584B0437}" name="No."/>
    <tableColumn id="2" xr3:uid="{1D906D51-104B-4B6D-B3C7-B1172D7F7C03}" name="Pregunta"/>
    <tableColumn id="3" xr3:uid="{E2B645A7-77AA-43A1-99DA-329E8A889C5D}" name="SI"/>
    <tableColumn id="4" xr3:uid="{6C9037D6-AD07-4E8C-9B9A-86B881B872D6}"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7DAD76-77D1-481E-A1F1-2CB1E2704F7A}" name="Table_26" displayName="Table_26" ref="A21:D26">
  <tableColumns count="4">
    <tableColumn id="1" xr3:uid="{4A4834D8-41ED-4A39-AB4B-5B26E6928778}" name="No."/>
    <tableColumn id="2" xr3:uid="{7311883A-A1AA-4848-AAFA-49C65F18C67B}" name="Pregunta"/>
    <tableColumn id="3" xr3:uid="{E1C6A43D-5DBC-45B0-B097-357854882EE2}" name="SI"/>
    <tableColumn id="4" xr3:uid="{9390BB5D-373C-4686-8AD0-9F8522B5A4A3}"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57D2A0-3831-4C53-9214-77F7522A1A0E}" name="Table_37" displayName="Table_37" ref="A31:D34">
  <tableColumns count="4">
    <tableColumn id="1" xr3:uid="{F2CD97E4-EB10-44C1-907D-BE746288D375}" name="No."/>
    <tableColumn id="2" xr3:uid="{682B972A-7B4C-4B5F-8F4A-6CA497A18EEB}" name="Pregunta"/>
    <tableColumn id="3" xr3:uid="{B883BA26-3571-4099-988E-39759A71BD80}" name="SI"/>
    <tableColumn id="4" xr3:uid="{781E487B-8297-463E-AC73-762DBF7CE168}"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19845B-E419-4031-95A5-EEB361BE5349}" name="Table_18" displayName="Table_18" ref="A7:D16">
  <tableColumns count="4">
    <tableColumn id="1" xr3:uid="{EBCDC7F5-686F-436A-B924-EBC103B69609}" name="No."/>
    <tableColumn id="2" xr3:uid="{33B81A38-CFB7-492C-8842-9187AD0D164D}" name="Pregunta"/>
    <tableColumn id="3" xr3:uid="{4C92904B-959B-4581-8416-01F1130C64EA}" name="SI"/>
    <tableColumn id="4" xr3:uid="{7FB05D02-89C3-4C2B-BE10-6417F8D7DA84}" name="NO "/>
  </tableColumns>
  <tableStyleInfo name="MODELO LISTA DE COMPROBACION - -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5BBE68-7946-4125-97D5-7CF61027F965}" name="Table_29" displayName="Table_29" ref="A21:D26">
  <tableColumns count="4">
    <tableColumn id="1" xr3:uid="{1CA44EF6-7974-426D-8B87-FE58D77BC766}" name="No."/>
    <tableColumn id="2" xr3:uid="{34B14489-076B-4997-B42C-7501F82DC839}" name="Pregunta"/>
    <tableColumn id="3" xr3:uid="{3D16E649-36DC-4AB9-86C5-7C15644C5757}" name="SI"/>
    <tableColumn id="4" xr3:uid="{5E09D889-520E-4751-ADAF-C19AB6507577}" name="NO "/>
  </tableColumns>
  <tableStyleInfo name="MODELO LISTA DE COMPROBACION - -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8079EE9-700D-4E68-B1AC-0DFF538966CD}" name="Table_310" displayName="Table_310" ref="A31:D34">
  <tableColumns count="4">
    <tableColumn id="1" xr3:uid="{CE406EC5-01E7-4720-A7DA-C1040B09C49B}" name="No."/>
    <tableColumn id="2" xr3:uid="{46019C65-2C0B-448D-ACEF-41FEC95A2D8A}" name="Pregunta"/>
    <tableColumn id="3" xr3:uid="{235FF562-1245-497C-BB11-6A987ECD1A11}" name="SI"/>
    <tableColumn id="4" xr3:uid="{B0BD8392-660D-4429-9F09-9CBF4189D4B2}" name="NO "/>
  </tableColumns>
  <tableStyleInfo name="MODELO LISTA DE COMPROBACION -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00"/>
  <sheetViews>
    <sheetView showGridLines="0" tabSelected="1" topLeftCell="D10" zoomScale="93" zoomScaleNormal="70" workbookViewId="0">
      <selection activeCell="C7" sqref="C7:D8"/>
    </sheetView>
  </sheetViews>
  <sheetFormatPr defaultColWidth="18.28515625" defaultRowHeight="14.45"/>
  <cols>
    <col min="1" max="1" width="19.5703125" customWidth="1"/>
    <col min="2" max="2" width="7.5703125" customWidth="1"/>
    <col min="4" max="4" width="14.85546875" customWidth="1"/>
    <col min="5" max="5" width="11.7109375" customWidth="1"/>
    <col min="6" max="6" width="59" customWidth="1"/>
    <col min="7" max="7" width="10.5703125" customWidth="1"/>
    <col min="8" max="8" width="72" customWidth="1"/>
    <col min="9" max="9" width="12" customWidth="1"/>
    <col min="10" max="10" width="67.5703125" customWidth="1"/>
  </cols>
  <sheetData>
    <row r="1" spans="2:10">
      <c r="B1" s="36"/>
      <c r="C1" s="1"/>
      <c r="D1" s="36"/>
      <c r="E1" s="36"/>
      <c r="F1" s="36"/>
      <c r="G1" s="36"/>
      <c r="H1" s="36"/>
      <c r="I1" s="36"/>
      <c r="J1" s="36"/>
    </row>
    <row r="2" spans="2:10">
      <c r="B2" s="36"/>
      <c r="C2" s="1"/>
      <c r="D2" s="36"/>
      <c r="E2" s="36"/>
      <c r="F2" s="36"/>
      <c r="G2" s="36"/>
      <c r="H2" s="36"/>
      <c r="I2" s="36"/>
      <c r="J2" s="36"/>
    </row>
    <row r="3" spans="2:10">
      <c r="B3" s="36"/>
      <c r="C3" s="56" t="s">
        <v>0</v>
      </c>
      <c r="D3" s="57"/>
      <c r="E3" s="57"/>
      <c r="F3" s="57"/>
      <c r="G3" s="57"/>
      <c r="H3" s="57"/>
      <c r="I3" s="57"/>
      <c r="J3" s="57"/>
    </row>
    <row r="4" spans="2:10">
      <c r="B4" s="36"/>
      <c r="C4" s="57"/>
      <c r="D4" s="57"/>
      <c r="E4" s="57"/>
      <c r="F4" s="57"/>
      <c r="G4" s="57"/>
      <c r="H4" s="57"/>
      <c r="I4" s="57"/>
      <c r="J4" s="57"/>
    </row>
    <row r="5" spans="2:10" ht="23.45">
      <c r="B5" s="36"/>
      <c r="C5" s="45"/>
      <c r="D5" s="2" t="s">
        <v>1</v>
      </c>
      <c r="E5" s="58" t="s">
        <v>2</v>
      </c>
      <c r="F5" s="57"/>
      <c r="G5" s="57"/>
      <c r="H5" s="57"/>
      <c r="I5" s="57"/>
      <c r="J5" s="57"/>
    </row>
    <row r="6" spans="2:10" ht="22.9">
      <c r="B6" s="36"/>
      <c r="C6" s="1"/>
      <c r="D6" s="36"/>
      <c r="E6" s="36"/>
      <c r="F6" s="59" t="s">
        <v>3</v>
      </c>
      <c r="G6" s="60"/>
      <c r="H6" s="60"/>
      <c r="I6" s="60"/>
      <c r="J6" s="48"/>
    </row>
    <row r="7" spans="2:10">
      <c r="B7" s="49" t="s">
        <v>4</v>
      </c>
      <c r="C7" s="51" t="s">
        <v>5</v>
      </c>
      <c r="D7" s="52"/>
      <c r="E7" s="55" t="s">
        <v>6</v>
      </c>
      <c r="F7" s="49" t="s">
        <v>7</v>
      </c>
      <c r="G7" s="55"/>
      <c r="H7" s="49" t="s">
        <v>8</v>
      </c>
      <c r="I7" s="55" t="s">
        <v>6</v>
      </c>
      <c r="J7" s="49" t="s">
        <v>9</v>
      </c>
    </row>
    <row r="8" spans="2:10">
      <c r="B8" s="50"/>
      <c r="C8" s="53"/>
      <c r="D8" s="54"/>
      <c r="E8" s="50"/>
      <c r="F8" s="50"/>
      <c r="G8" s="50"/>
      <c r="H8" s="50"/>
      <c r="I8" s="50"/>
      <c r="J8" s="50"/>
    </row>
    <row r="9" spans="2:10" ht="72">
      <c r="B9" s="46">
        <v>1</v>
      </c>
      <c r="C9" s="47" t="s">
        <v>10</v>
      </c>
      <c r="D9" s="48"/>
      <c r="E9" s="3" t="s">
        <v>11</v>
      </c>
      <c r="F9" s="4" t="s">
        <v>12</v>
      </c>
      <c r="G9" s="3" t="s">
        <v>11</v>
      </c>
      <c r="H9" s="40" t="s">
        <v>13</v>
      </c>
      <c r="I9" s="3" t="s">
        <v>11</v>
      </c>
      <c r="J9" s="4" t="s">
        <v>14</v>
      </c>
    </row>
    <row r="10" spans="2:10" ht="36">
      <c r="B10" s="46">
        <v>2</v>
      </c>
      <c r="C10" s="47" t="s">
        <v>15</v>
      </c>
      <c r="D10" s="48"/>
      <c r="E10" s="3" t="s">
        <v>11</v>
      </c>
      <c r="F10" s="6" t="s">
        <v>16</v>
      </c>
      <c r="G10" s="3" t="s">
        <v>11</v>
      </c>
      <c r="H10" s="41" t="s">
        <v>17</v>
      </c>
      <c r="I10" s="3" t="s">
        <v>11</v>
      </c>
      <c r="J10" s="6" t="s">
        <v>18</v>
      </c>
    </row>
    <row r="11" spans="2:10" ht="72">
      <c r="B11" s="46">
        <v>3</v>
      </c>
      <c r="C11" s="47" t="s">
        <v>19</v>
      </c>
      <c r="D11" s="48"/>
      <c r="E11" s="3" t="s">
        <v>11</v>
      </c>
      <c r="F11" s="6" t="s">
        <v>20</v>
      </c>
      <c r="G11" s="3" t="s">
        <v>11</v>
      </c>
      <c r="H11" s="41" t="s">
        <v>21</v>
      </c>
      <c r="I11" s="8" t="s">
        <v>22</v>
      </c>
      <c r="J11" s="6" t="s">
        <v>23</v>
      </c>
    </row>
    <row r="12" spans="2:10" ht="54">
      <c r="B12" s="46">
        <v>4</v>
      </c>
      <c r="C12" s="47" t="s">
        <v>24</v>
      </c>
      <c r="D12" s="48"/>
      <c r="E12" s="3" t="s">
        <v>11</v>
      </c>
      <c r="F12" s="7" t="s">
        <v>25</v>
      </c>
      <c r="G12" s="3" t="s">
        <v>11</v>
      </c>
      <c r="H12" s="42" t="s">
        <v>26</v>
      </c>
      <c r="I12" s="3" t="s">
        <v>11</v>
      </c>
      <c r="J12" s="7" t="s">
        <v>27</v>
      </c>
    </row>
    <row r="13" spans="2:10" ht="75.75">
      <c r="B13" s="46">
        <v>5</v>
      </c>
      <c r="C13" s="47" t="s">
        <v>28</v>
      </c>
      <c r="D13" s="48"/>
      <c r="E13" s="3" t="s">
        <v>11</v>
      </c>
      <c r="F13" s="7" t="s">
        <v>29</v>
      </c>
      <c r="G13" s="3" t="s">
        <v>11</v>
      </c>
      <c r="H13" s="42" t="s">
        <v>30</v>
      </c>
      <c r="I13" s="3" t="s">
        <v>11</v>
      </c>
      <c r="J13" s="7" t="s">
        <v>31</v>
      </c>
    </row>
    <row r="14" spans="2:10" ht="72">
      <c r="B14" s="46">
        <v>6</v>
      </c>
      <c r="C14" s="47" t="s">
        <v>32</v>
      </c>
      <c r="D14" s="48"/>
      <c r="E14" s="3" t="s">
        <v>11</v>
      </c>
      <c r="F14" s="7" t="s">
        <v>33</v>
      </c>
      <c r="G14" s="3" t="s">
        <v>11</v>
      </c>
      <c r="H14" s="42" t="s">
        <v>34</v>
      </c>
      <c r="I14" s="3" t="s">
        <v>11</v>
      </c>
      <c r="J14" s="7" t="s">
        <v>35</v>
      </c>
    </row>
    <row r="15" spans="2:10" ht="72">
      <c r="B15" s="46">
        <v>7</v>
      </c>
      <c r="C15" s="47" t="s">
        <v>36</v>
      </c>
      <c r="D15" s="48"/>
      <c r="E15" s="3" t="s">
        <v>11</v>
      </c>
      <c r="F15" s="7" t="s">
        <v>37</v>
      </c>
      <c r="G15" s="3" t="s">
        <v>11</v>
      </c>
      <c r="H15" s="42" t="s">
        <v>38</v>
      </c>
      <c r="I15" s="3" t="s">
        <v>11</v>
      </c>
      <c r="J15" s="7" t="s">
        <v>39</v>
      </c>
    </row>
    <row r="16" spans="2:10" ht="78">
      <c r="B16" s="46">
        <v>8</v>
      </c>
      <c r="C16" s="47" t="s">
        <v>40</v>
      </c>
      <c r="D16" s="48"/>
      <c r="E16" s="8" t="s">
        <v>22</v>
      </c>
      <c r="F16" s="7" t="s">
        <v>41</v>
      </c>
      <c r="G16" s="8" t="s">
        <v>22</v>
      </c>
      <c r="H16" s="42" t="s">
        <v>42</v>
      </c>
      <c r="I16" s="8" t="s">
        <v>22</v>
      </c>
      <c r="J16" s="7" t="s">
        <v>43</v>
      </c>
    </row>
    <row r="17" spans="2:10" ht="72">
      <c r="B17" s="46">
        <v>9</v>
      </c>
      <c r="C17" s="47" t="s">
        <v>44</v>
      </c>
      <c r="D17" s="48"/>
      <c r="E17" s="8" t="s">
        <v>22</v>
      </c>
      <c r="F17" s="9" t="s">
        <v>45</v>
      </c>
      <c r="G17" s="8" t="s">
        <v>22</v>
      </c>
      <c r="H17" s="43" t="s">
        <v>46</v>
      </c>
      <c r="I17" s="8" t="s">
        <v>22</v>
      </c>
      <c r="J17" s="9" t="s">
        <v>47</v>
      </c>
    </row>
    <row r="18" spans="2:10" ht="46.9">
      <c r="B18" s="46">
        <v>10</v>
      </c>
      <c r="C18" s="47" t="s">
        <v>48</v>
      </c>
      <c r="D18" s="48"/>
      <c r="E18" s="3" t="s">
        <v>11</v>
      </c>
      <c r="F18" s="7" t="s">
        <v>49</v>
      </c>
      <c r="G18" s="3" t="s">
        <v>11</v>
      </c>
      <c r="H18" s="42" t="s">
        <v>50</v>
      </c>
      <c r="I18" s="8" t="s">
        <v>22</v>
      </c>
      <c r="J18" s="7" t="s">
        <v>51</v>
      </c>
    </row>
    <row r="19" spans="2:10" ht="46.9">
      <c r="B19" s="46">
        <v>11</v>
      </c>
      <c r="C19" s="47" t="s">
        <v>52</v>
      </c>
      <c r="D19" s="48"/>
      <c r="E19" s="8" t="s">
        <v>22</v>
      </c>
      <c r="F19" s="7" t="s">
        <v>53</v>
      </c>
      <c r="G19" s="8" t="s">
        <v>22</v>
      </c>
      <c r="H19" s="42" t="s">
        <v>54</v>
      </c>
      <c r="I19" s="39" t="s">
        <v>22</v>
      </c>
      <c r="J19" s="7" t="s">
        <v>54</v>
      </c>
    </row>
    <row r="20" spans="2:10">
      <c r="B20" s="36"/>
      <c r="C20" s="1"/>
      <c r="D20" s="36"/>
      <c r="E20" s="36"/>
      <c r="F20" s="36"/>
      <c r="G20" s="36"/>
      <c r="H20" s="36"/>
      <c r="I20" s="36"/>
      <c r="J20" s="36"/>
    </row>
    <row r="21" spans="2:10">
      <c r="B21" s="36"/>
      <c r="C21" s="1"/>
      <c r="D21" s="36"/>
      <c r="E21" s="36"/>
      <c r="F21" s="36"/>
      <c r="G21" s="36"/>
      <c r="H21" s="36"/>
      <c r="I21" s="36"/>
      <c r="J21" s="36"/>
    </row>
    <row r="22" spans="2:10">
      <c r="B22" s="36"/>
      <c r="C22" s="1"/>
      <c r="D22" s="36"/>
      <c r="E22" s="36"/>
      <c r="F22" s="36"/>
      <c r="G22" s="36"/>
      <c r="H22" s="36"/>
      <c r="I22" s="36"/>
      <c r="J22" s="36"/>
    </row>
    <row r="23" spans="2:10">
      <c r="B23" s="36"/>
      <c r="C23" s="1"/>
      <c r="D23" s="36"/>
      <c r="E23" s="36"/>
      <c r="F23" s="36"/>
      <c r="G23" s="36"/>
      <c r="H23" s="36"/>
      <c r="I23" s="36"/>
      <c r="J23" s="36"/>
    </row>
    <row r="24" spans="2:10">
      <c r="B24" s="36"/>
      <c r="C24" s="1"/>
      <c r="D24" s="36"/>
      <c r="E24" s="36"/>
      <c r="F24" s="36"/>
      <c r="G24" s="36"/>
      <c r="H24" s="36"/>
      <c r="I24" s="36"/>
      <c r="J24" s="36"/>
    </row>
    <row r="25" spans="2:10">
      <c r="B25" s="36"/>
      <c r="C25" s="1"/>
      <c r="D25" s="36"/>
      <c r="E25" s="36"/>
      <c r="F25" s="36"/>
      <c r="G25" s="36"/>
      <c r="H25" s="36"/>
      <c r="I25" s="36"/>
      <c r="J25" s="36"/>
    </row>
    <row r="26" spans="2:10">
      <c r="B26" s="36"/>
      <c r="C26" s="1"/>
      <c r="D26" s="36"/>
      <c r="E26" s="36"/>
      <c r="F26" s="36"/>
      <c r="G26" s="36"/>
      <c r="H26" s="36"/>
      <c r="I26" s="36"/>
      <c r="J26" s="36"/>
    </row>
    <row r="27" spans="2:10">
      <c r="B27" s="36"/>
      <c r="C27" s="1"/>
      <c r="D27" s="36"/>
      <c r="E27" s="36"/>
      <c r="F27" s="36"/>
      <c r="G27" s="36"/>
      <c r="H27" s="36"/>
      <c r="I27" s="36"/>
      <c r="J27" s="36"/>
    </row>
    <row r="28" spans="2:10">
      <c r="B28" s="36"/>
      <c r="C28" s="1"/>
      <c r="D28" s="36"/>
      <c r="E28" s="36"/>
      <c r="F28" s="36"/>
      <c r="G28" s="36"/>
      <c r="H28" s="36"/>
      <c r="I28" s="36"/>
      <c r="J28" s="36"/>
    </row>
    <row r="29" spans="2:10">
      <c r="B29" s="36"/>
      <c r="C29" s="1"/>
      <c r="D29" s="36"/>
      <c r="E29" s="36"/>
      <c r="F29" s="36"/>
      <c r="G29" s="36"/>
      <c r="H29" s="36"/>
      <c r="I29" s="36"/>
      <c r="J29" s="36"/>
    </row>
    <row r="30" spans="2:10">
      <c r="B30" s="36"/>
      <c r="C30" s="1"/>
      <c r="D30" s="36"/>
      <c r="E30" s="36"/>
      <c r="F30" s="36"/>
      <c r="G30" s="36"/>
      <c r="H30" s="36"/>
      <c r="I30" s="36"/>
      <c r="J30" s="36"/>
    </row>
    <row r="31" spans="2:10">
      <c r="B31" s="36"/>
      <c r="C31" s="1"/>
      <c r="D31" s="36"/>
      <c r="E31" s="36"/>
      <c r="F31" s="36"/>
      <c r="G31" s="36"/>
      <c r="H31" s="36"/>
      <c r="I31" s="36"/>
      <c r="J31" s="36"/>
    </row>
    <row r="32" spans="2:10">
      <c r="B32" s="36"/>
      <c r="C32" s="1"/>
      <c r="D32" s="36"/>
      <c r="E32" s="36"/>
      <c r="F32" s="36"/>
      <c r="G32" s="36"/>
      <c r="H32" s="36"/>
      <c r="I32" s="36"/>
      <c r="J32" s="36"/>
    </row>
    <row r="33" spans="3:3">
      <c r="C33" s="1"/>
    </row>
    <row r="34" spans="3:3">
      <c r="C34" s="1"/>
    </row>
    <row r="35" spans="3:3">
      <c r="C35" s="1"/>
    </row>
    <row r="36" spans="3:3">
      <c r="C36" s="1"/>
    </row>
    <row r="37" spans="3:3">
      <c r="C37" s="1"/>
    </row>
    <row r="38" spans="3:3">
      <c r="C38" s="1"/>
    </row>
    <row r="39" spans="3:3">
      <c r="C39" s="1"/>
    </row>
    <row r="40" spans="3:3">
      <c r="C40" s="1"/>
    </row>
    <row r="41" spans="3:3">
      <c r="C41" s="1"/>
    </row>
    <row r="42" spans="3:3">
      <c r="C42" s="1"/>
    </row>
    <row r="43" spans="3:3">
      <c r="C43" s="1"/>
    </row>
    <row r="44" spans="3:3">
      <c r="C44" s="1"/>
    </row>
    <row r="45" spans="3:3">
      <c r="C45" s="1"/>
    </row>
    <row r="46" spans="3:3">
      <c r="C46" s="1"/>
    </row>
    <row r="47" spans="3:3">
      <c r="C47" s="1"/>
    </row>
    <row r="48" spans="3:3">
      <c r="C48" s="1"/>
    </row>
    <row r="49" spans="3:3">
      <c r="C49" s="1"/>
    </row>
    <row r="50" spans="3:3">
      <c r="C50" s="1"/>
    </row>
    <row r="51" spans="3:3">
      <c r="C51" s="1"/>
    </row>
    <row r="52" spans="3:3">
      <c r="C52" s="1"/>
    </row>
    <row r="53" spans="3:3">
      <c r="C53" s="1"/>
    </row>
    <row r="54" spans="3:3">
      <c r="C54" s="1"/>
    </row>
    <row r="55" spans="3:3">
      <c r="C55" s="1"/>
    </row>
    <row r="56" spans="3:3">
      <c r="C56" s="1"/>
    </row>
    <row r="57" spans="3:3">
      <c r="C57" s="1"/>
    </row>
    <row r="58" spans="3:3">
      <c r="C58" s="1"/>
    </row>
    <row r="59" spans="3:3">
      <c r="C59" s="1"/>
    </row>
    <row r="60" spans="3:3">
      <c r="C60" s="1"/>
    </row>
    <row r="61" spans="3:3">
      <c r="C61" s="1"/>
    </row>
    <row r="62" spans="3:3">
      <c r="C62" s="1"/>
    </row>
    <row r="63" spans="3:3">
      <c r="C63" s="1"/>
    </row>
    <row r="64" spans="3:3">
      <c r="C64" s="1"/>
    </row>
    <row r="65" spans="3:3">
      <c r="C65" s="1"/>
    </row>
    <row r="66" spans="3:3">
      <c r="C66" s="1"/>
    </row>
    <row r="67" spans="3:3">
      <c r="C67" s="1"/>
    </row>
    <row r="68" spans="3:3">
      <c r="C68" s="1"/>
    </row>
    <row r="69" spans="3:3">
      <c r="C69" s="1"/>
    </row>
    <row r="70" spans="3:3">
      <c r="C70" s="1"/>
    </row>
    <row r="71" spans="3:3">
      <c r="C71" s="1"/>
    </row>
    <row r="72" spans="3:3">
      <c r="C72" s="1"/>
    </row>
    <row r="73" spans="3:3">
      <c r="C73" s="1"/>
    </row>
    <row r="74" spans="3:3">
      <c r="C74" s="1"/>
    </row>
    <row r="75" spans="3:3">
      <c r="C75" s="1"/>
    </row>
    <row r="76" spans="3:3">
      <c r="C76" s="1"/>
    </row>
    <row r="77" spans="3:3">
      <c r="C77" s="1"/>
    </row>
    <row r="78" spans="3:3">
      <c r="C78" s="1"/>
    </row>
    <row r="79" spans="3:3">
      <c r="C79" s="1"/>
    </row>
    <row r="80" spans="3:3">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row r="306" spans="3:3">
      <c r="C306" s="1"/>
    </row>
    <row r="307" spans="3:3">
      <c r="C307" s="1"/>
    </row>
    <row r="308" spans="3:3">
      <c r="C308" s="1"/>
    </row>
    <row r="309" spans="3:3">
      <c r="C309" s="1"/>
    </row>
    <row r="310" spans="3:3">
      <c r="C310" s="1"/>
    </row>
    <row r="311" spans="3:3">
      <c r="C311" s="1"/>
    </row>
    <row r="312" spans="3:3">
      <c r="C312" s="1"/>
    </row>
    <row r="313" spans="3:3">
      <c r="C313" s="1"/>
    </row>
    <row r="314" spans="3:3">
      <c r="C314" s="1"/>
    </row>
    <row r="315" spans="3:3">
      <c r="C315" s="1"/>
    </row>
    <row r="316" spans="3:3">
      <c r="C316" s="1"/>
    </row>
    <row r="317" spans="3:3">
      <c r="C317" s="1"/>
    </row>
    <row r="318" spans="3:3">
      <c r="C318" s="1"/>
    </row>
    <row r="319" spans="3:3">
      <c r="C319" s="1"/>
    </row>
    <row r="320" spans="3:3">
      <c r="C320" s="1"/>
    </row>
    <row r="321" spans="3:3">
      <c r="C321" s="1"/>
    </row>
    <row r="322" spans="3:3">
      <c r="C322" s="1"/>
    </row>
    <row r="323" spans="3:3">
      <c r="C323" s="1"/>
    </row>
    <row r="324" spans="3:3">
      <c r="C324" s="1"/>
    </row>
    <row r="325" spans="3:3">
      <c r="C325" s="1"/>
    </row>
    <row r="326" spans="3:3">
      <c r="C326" s="1"/>
    </row>
    <row r="327" spans="3:3">
      <c r="C327" s="1"/>
    </row>
    <row r="328" spans="3:3">
      <c r="C328" s="1"/>
    </row>
    <row r="329" spans="3:3">
      <c r="C329" s="1"/>
    </row>
    <row r="330" spans="3:3">
      <c r="C330" s="1"/>
    </row>
    <row r="331" spans="3:3">
      <c r="C331" s="1"/>
    </row>
    <row r="332" spans="3:3">
      <c r="C332" s="1"/>
    </row>
    <row r="333" spans="3:3">
      <c r="C333" s="1"/>
    </row>
    <row r="334" spans="3:3">
      <c r="C334" s="1"/>
    </row>
    <row r="335" spans="3:3">
      <c r="C335" s="1"/>
    </row>
    <row r="336" spans="3:3">
      <c r="C336" s="1"/>
    </row>
    <row r="337" spans="3:3">
      <c r="C337" s="1"/>
    </row>
    <row r="338" spans="3:3">
      <c r="C338" s="1"/>
    </row>
    <row r="339" spans="3:3">
      <c r="C339" s="1"/>
    </row>
    <row r="340" spans="3:3">
      <c r="C340" s="1"/>
    </row>
    <row r="341" spans="3:3">
      <c r="C341" s="1"/>
    </row>
    <row r="342" spans="3:3">
      <c r="C342" s="1"/>
    </row>
    <row r="343" spans="3:3">
      <c r="C343" s="1"/>
    </row>
    <row r="344" spans="3:3">
      <c r="C344" s="1"/>
    </row>
    <row r="345" spans="3:3">
      <c r="C345" s="1"/>
    </row>
    <row r="346" spans="3:3">
      <c r="C346" s="1"/>
    </row>
    <row r="347" spans="3:3">
      <c r="C347" s="1"/>
    </row>
    <row r="348" spans="3:3">
      <c r="C348" s="1"/>
    </row>
    <row r="349" spans="3:3">
      <c r="C349" s="1"/>
    </row>
    <row r="350" spans="3:3">
      <c r="C350" s="1"/>
    </row>
    <row r="351" spans="3:3">
      <c r="C351" s="1"/>
    </row>
    <row r="352" spans="3:3">
      <c r="C352" s="1"/>
    </row>
    <row r="353" spans="3:3">
      <c r="C353" s="1"/>
    </row>
    <row r="354" spans="3:3">
      <c r="C354" s="1"/>
    </row>
    <row r="355" spans="3:3">
      <c r="C355" s="1"/>
    </row>
    <row r="356" spans="3:3">
      <c r="C356" s="1"/>
    </row>
    <row r="357" spans="3:3">
      <c r="C357" s="1"/>
    </row>
    <row r="358" spans="3:3">
      <c r="C358" s="1"/>
    </row>
    <row r="359" spans="3:3">
      <c r="C359" s="1"/>
    </row>
    <row r="360" spans="3:3">
      <c r="C360" s="1"/>
    </row>
    <row r="361" spans="3:3">
      <c r="C361" s="1"/>
    </row>
    <row r="362" spans="3:3">
      <c r="C362" s="1"/>
    </row>
    <row r="363" spans="3:3">
      <c r="C363" s="1"/>
    </row>
    <row r="364" spans="3:3">
      <c r="C364" s="1"/>
    </row>
    <row r="365" spans="3:3">
      <c r="C365" s="1"/>
    </row>
    <row r="366" spans="3:3">
      <c r="C366" s="1"/>
    </row>
    <row r="367" spans="3:3">
      <c r="C367" s="1"/>
    </row>
    <row r="368" spans="3:3">
      <c r="C368" s="1"/>
    </row>
    <row r="369" spans="3:3">
      <c r="C369" s="1"/>
    </row>
    <row r="370" spans="3:3">
      <c r="C370" s="1"/>
    </row>
    <row r="371" spans="3:3">
      <c r="C371" s="1"/>
    </row>
    <row r="372" spans="3:3">
      <c r="C372" s="1"/>
    </row>
    <row r="373" spans="3:3">
      <c r="C373" s="1"/>
    </row>
    <row r="374" spans="3:3">
      <c r="C374" s="1"/>
    </row>
    <row r="375" spans="3:3">
      <c r="C375" s="1"/>
    </row>
    <row r="376" spans="3:3">
      <c r="C376" s="1"/>
    </row>
    <row r="377" spans="3:3">
      <c r="C377" s="1"/>
    </row>
    <row r="378" spans="3:3">
      <c r="C378" s="1"/>
    </row>
    <row r="379" spans="3:3">
      <c r="C379" s="1"/>
    </row>
    <row r="380" spans="3:3">
      <c r="C380" s="1"/>
    </row>
    <row r="381" spans="3:3">
      <c r="C381" s="1"/>
    </row>
    <row r="382" spans="3:3">
      <c r="C382" s="1"/>
    </row>
    <row r="383" spans="3:3">
      <c r="C383" s="1"/>
    </row>
    <row r="384" spans="3:3">
      <c r="C384" s="1"/>
    </row>
    <row r="385" spans="3:3">
      <c r="C385" s="1"/>
    </row>
    <row r="386" spans="3:3">
      <c r="C386" s="1"/>
    </row>
    <row r="387" spans="3:3">
      <c r="C387" s="1"/>
    </row>
    <row r="388" spans="3:3">
      <c r="C388" s="1"/>
    </row>
    <row r="389" spans="3:3">
      <c r="C389" s="1"/>
    </row>
    <row r="390" spans="3:3">
      <c r="C390" s="1"/>
    </row>
    <row r="391" spans="3:3">
      <c r="C391" s="1"/>
    </row>
    <row r="392" spans="3:3">
      <c r="C392" s="1"/>
    </row>
    <row r="393" spans="3:3">
      <c r="C393" s="1"/>
    </row>
    <row r="394" spans="3:3">
      <c r="C394" s="1"/>
    </row>
    <row r="395" spans="3:3">
      <c r="C395" s="1"/>
    </row>
    <row r="396" spans="3:3">
      <c r="C396" s="1"/>
    </row>
    <row r="397" spans="3:3">
      <c r="C397" s="1"/>
    </row>
    <row r="398" spans="3:3">
      <c r="C398" s="1"/>
    </row>
    <row r="399" spans="3:3">
      <c r="C399" s="1"/>
    </row>
    <row r="400" spans="3:3">
      <c r="C400" s="1"/>
    </row>
    <row r="401" spans="3:3">
      <c r="C401" s="1"/>
    </row>
    <row r="402" spans="3:3">
      <c r="C402" s="1"/>
    </row>
    <row r="403" spans="3:3">
      <c r="C403" s="1"/>
    </row>
    <row r="404" spans="3:3">
      <c r="C404" s="1"/>
    </row>
    <row r="405" spans="3:3">
      <c r="C405" s="1"/>
    </row>
    <row r="406" spans="3:3">
      <c r="C406" s="1"/>
    </row>
    <row r="407" spans="3:3">
      <c r="C407" s="1"/>
    </row>
    <row r="408" spans="3:3">
      <c r="C408" s="1"/>
    </row>
    <row r="409" spans="3:3">
      <c r="C409" s="1"/>
    </row>
    <row r="410" spans="3:3">
      <c r="C410" s="1"/>
    </row>
    <row r="411" spans="3:3">
      <c r="C411" s="1"/>
    </row>
    <row r="412" spans="3:3">
      <c r="C412" s="1"/>
    </row>
    <row r="413" spans="3:3">
      <c r="C413" s="1"/>
    </row>
    <row r="414" spans="3:3">
      <c r="C414" s="1"/>
    </row>
    <row r="415" spans="3:3">
      <c r="C415" s="1"/>
    </row>
    <row r="416" spans="3:3">
      <c r="C416" s="1"/>
    </row>
    <row r="417" spans="3:3">
      <c r="C417" s="1"/>
    </row>
    <row r="418" spans="3:3">
      <c r="C418" s="1"/>
    </row>
    <row r="419" spans="3:3">
      <c r="C419" s="1"/>
    </row>
    <row r="420" spans="3:3">
      <c r="C420" s="1"/>
    </row>
    <row r="421" spans="3:3">
      <c r="C421" s="1"/>
    </row>
    <row r="422" spans="3:3">
      <c r="C422" s="1"/>
    </row>
    <row r="423" spans="3:3">
      <c r="C423" s="1"/>
    </row>
    <row r="424" spans="3:3">
      <c r="C424" s="1"/>
    </row>
    <row r="425" spans="3:3">
      <c r="C425" s="1"/>
    </row>
    <row r="426" spans="3:3">
      <c r="C426" s="1"/>
    </row>
    <row r="427" spans="3:3">
      <c r="C427" s="1"/>
    </row>
    <row r="428" spans="3:3">
      <c r="C428" s="1"/>
    </row>
    <row r="429" spans="3:3">
      <c r="C429" s="1"/>
    </row>
    <row r="430" spans="3:3">
      <c r="C430" s="1"/>
    </row>
    <row r="431" spans="3:3">
      <c r="C431" s="1"/>
    </row>
    <row r="432" spans="3:3">
      <c r="C432" s="1"/>
    </row>
    <row r="433" spans="3:3">
      <c r="C433" s="1"/>
    </row>
    <row r="434" spans="3:3">
      <c r="C434" s="1"/>
    </row>
    <row r="435" spans="3:3">
      <c r="C435" s="1"/>
    </row>
    <row r="436" spans="3:3">
      <c r="C436" s="1"/>
    </row>
    <row r="437" spans="3:3">
      <c r="C437" s="1"/>
    </row>
    <row r="438" spans="3:3">
      <c r="C438" s="1"/>
    </row>
    <row r="439" spans="3:3">
      <c r="C439" s="1"/>
    </row>
    <row r="440" spans="3:3">
      <c r="C440" s="1"/>
    </row>
    <row r="441" spans="3:3">
      <c r="C441" s="1"/>
    </row>
    <row r="442" spans="3:3">
      <c r="C442" s="1"/>
    </row>
    <row r="443" spans="3:3">
      <c r="C443" s="1"/>
    </row>
    <row r="444" spans="3:3">
      <c r="C444" s="1"/>
    </row>
    <row r="445" spans="3:3">
      <c r="C445" s="1"/>
    </row>
    <row r="446" spans="3:3">
      <c r="C446" s="1"/>
    </row>
    <row r="447" spans="3:3">
      <c r="C447" s="1"/>
    </row>
    <row r="448" spans="3:3">
      <c r="C448" s="1"/>
    </row>
    <row r="449" spans="3:3">
      <c r="C449" s="1"/>
    </row>
    <row r="450" spans="3:3">
      <c r="C450" s="1"/>
    </row>
    <row r="451" spans="3:3">
      <c r="C451" s="1"/>
    </row>
    <row r="452" spans="3:3">
      <c r="C452" s="1"/>
    </row>
    <row r="453" spans="3:3">
      <c r="C453" s="1"/>
    </row>
    <row r="454" spans="3:3">
      <c r="C454" s="1"/>
    </row>
    <row r="455" spans="3:3">
      <c r="C455" s="1"/>
    </row>
    <row r="456" spans="3:3">
      <c r="C456" s="1"/>
    </row>
    <row r="457" spans="3:3">
      <c r="C457" s="1"/>
    </row>
    <row r="458" spans="3:3">
      <c r="C458" s="1"/>
    </row>
    <row r="459" spans="3:3">
      <c r="C459" s="1"/>
    </row>
    <row r="460" spans="3:3">
      <c r="C460" s="1"/>
    </row>
    <row r="461" spans="3:3">
      <c r="C461" s="1"/>
    </row>
    <row r="462" spans="3:3">
      <c r="C462" s="1"/>
    </row>
    <row r="463" spans="3:3">
      <c r="C463" s="1"/>
    </row>
    <row r="464" spans="3:3">
      <c r="C464" s="1"/>
    </row>
    <row r="465" spans="3:3">
      <c r="C465" s="1"/>
    </row>
    <row r="466" spans="3:3">
      <c r="C466" s="1"/>
    </row>
    <row r="467" spans="3:3">
      <c r="C467" s="1"/>
    </row>
    <row r="468" spans="3:3">
      <c r="C468" s="1"/>
    </row>
    <row r="469" spans="3:3">
      <c r="C469" s="1"/>
    </row>
    <row r="470" spans="3:3">
      <c r="C470" s="1"/>
    </row>
    <row r="471" spans="3:3">
      <c r="C471" s="1"/>
    </row>
    <row r="472" spans="3:3">
      <c r="C472" s="1"/>
    </row>
    <row r="473" spans="3:3">
      <c r="C473" s="1"/>
    </row>
    <row r="474" spans="3:3">
      <c r="C474" s="1"/>
    </row>
    <row r="475" spans="3:3">
      <c r="C475" s="1"/>
    </row>
    <row r="476" spans="3:3">
      <c r="C476" s="1"/>
    </row>
    <row r="477" spans="3:3">
      <c r="C477" s="1"/>
    </row>
    <row r="478" spans="3:3">
      <c r="C478" s="1"/>
    </row>
    <row r="479" spans="3:3">
      <c r="C479" s="1"/>
    </row>
    <row r="480" spans="3:3">
      <c r="C480" s="1"/>
    </row>
    <row r="481" spans="3:3">
      <c r="C481" s="1"/>
    </row>
    <row r="482" spans="3:3">
      <c r="C482" s="1"/>
    </row>
    <row r="483" spans="3:3">
      <c r="C483" s="1"/>
    </row>
    <row r="484" spans="3:3">
      <c r="C484" s="1"/>
    </row>
    <row r="485" spans="3:3">
      <c r="C485" s="1"/>
    </row>
    <row r="486" spans="3:3">
      <c r="C486" s="1"/>
    </row>
    <row r="487" spans="3:3">
      <c r="C487" s="1"/>
    </row>
    <row r="488" spans="3:3">
      <c r="C488" s="1"/>
    </row>
    <row r="489" spans="3:3">
      <c r="C489" s="1"/>
    </row>
    <row r="490" spans="3:3">
      <c r="C490" s="1"/>
    </row>
    <row r="491" spans="3:3">
      <c r="C491" s="1"/>
    </row>
    <row r="492" spans="3:3">
      <c r="C492" s="1"/>
    </row>
    <row r="493" spans="3:3">
      <c r="C493" s="1"/>
    </row>
    <row r="494" spans="3:3">
      <c r="C494" s="1"/>
    </row>
    <row r="495" spans="3:3">
      <c r="C495" s="1"/>
    </row>
    <row r="496" spans="3:3">
      <c r="C496" s="1"/>
    </row>
    <row r="497" spans="3:3">
      <c r="C497" s="1"/>
    </row>
    <row r="498" spans="3:3">
      <c r="C498" s="1"/>
    </row>
    <row r="499" spans="3:3">
      <c r="C499" s="1"/>
    </row>
    <row r="500" spans="3:3">
      <c r="C500" s="1"/>
    </row>
    <row r="501" spans="3:3">
      <c r="C501" s="1"/>
    </row>
    <row r="502" spans="3:3">
      <c r="C502" s="1"/>
    </row>
    <row r="503" spans="3:3">
      <c r="C503" s="1"/>
    </row>
    <row r="504" spans="3:3">
      <c r="C504" s="1"/>
    </row>
    <row r="505" spans="3:3">
      <c r="C505" s="1"/>
    </row>
    <row r="506" spans="3:3">
      <c r="C506" s="1"/>
    </row>
    <row r="507" spans="3:3">
      <c r="C507" s="1"/>
    </row>
    <row r="508" spans="3:3">
      <c r="C508" s="1"/>
    </row>
    <row r="509" spans="3:3">
      <c r="C509" s="1"/>
    </row>
    <row r="510" spans="3:3">
      <c r="C510" s="1"/>
    </row>
    <row r="511" spans="3:3">
      <c r="C511" s="1"/>
    </row>
    <row r="512" spans="3:3">
      <c r="C512" s="1"/>
    </row>
    <row r="513" spans="3:3">
      <c r="C513" s="1"/>
    </row>
    <row r="514" spans="3:3">
      <c r="C514" s="1"/>
    </row>
    <row r="515" spans="3:3">
      <c r="C515" s="1"/>
    </row>
    <row r="516" spans="3:3">
      <c r="C516" s="1"/>
    </row>
    <row r="517" spans="3:3">
      <c r="C517" s="1"/>
    </row>
    <row r="518" spans="3:3">
      <c r="C518" s="1"/>
    </row>
    <row r="519" spans="3:3">
      <c r="C519" s="1"/>
    </row>
    <row r="520" spans="3:3">
      <c r="C520" s="1"/>
    </row>
    <row r="521" spans="3:3">
      <c r="C521" s="1"/>
    </row>
    <row r="522" spans="3:3">
      <c r="C522" s="1"/>
    </row>
    <row r="523" spans="3:3">
      <c r="C523" s="1"/>
    </row>
    <row r="524" spans="3:3">
      <c r="C524" s="1"/>
    </row>
    <row r="525" spans="3:3">
      <c r="C525" s="1"/>
    </row>
    <row r="526" spans="3:3">
      <c r="C526" s="1"/>
    </row>
    <row r="527" spans="3:3">
      <c r="C527" s="1"/>
    </row>
    <row r="528" spans="3:3">
      <c r="C528" s="1"/>
    </row>
    <row r="529" spans="3:3">
      <c r="C529" s="1"/>
    </row>
    <row r="530" spans="3:3">
      <c r="C530" s="1"/>
    </row>
    <row r="531" spans="3:3">
      <c r="C531" s="1"/>
    </row>
    <row r="532" spans="3:3">
      <c r="C532" s="1"/>
    </row>
    <row r="533" spans="3:3">
      <c r="C533" s="1"/>
    </row>
    <row r="534" spans="3:3">
      <c r="C534" s="1"/>
    </row>
    <row r="535" spans="3:3">
      <c r="C535" s="1"/>
    </row>
    <row r="536" spans="3:3">
      <c r="C536" s="1"/>
    </row>
    <row r="537" spans="3:3">
      <c r="C537" s="1"/>
    </row>
    <row r="538" spans="3:3">
      <c r="C538" s="1"/>
    </row>
    <row r="539" spans="3:3">
      <c r="C539" s="1"/>
    </row>
    <row r="540" spans="3:3">
      <c r="C540" s="1"/>
    </row>
    <row r="541" spans="3:3">
      <c r="C541" s="1"/>
    </row>
    <row r="542" spans="3:3">
      <c r="C542" s="1"/>
    </row>
    <row r="543" spans="3:3">
      <c r="C543" s="1"/>
    </row>
    <row r="544" spans="3:3">
      <c r="C544" s="1"/>
    </row>
    <row r="545" spans="3:3">
      <c r="C545" s="1"/>
    </row>
    <row r="546" spans="3:3">
      <c r="C546" s="1"/>
    </row>
    <row r="547" spans="3:3">
      <c r="C547" s="1"/>
    </row>
    <row r="548" spans="3:3">
      <c r="C548" s="1"/>
    </row>
    <row r="549" spans="3:3">
      <c r="C549" s="1"/>
    </row>
    <row r="550" spans="3:3">
      <c r="C550" s="1"/>
    </row>
    <row r="551" spans="3:3">
      <c r="C551" s="1"/>
    </row>
    <row r="552" spans="3:3">
      <c r="C552" s="1"/>
    </row>
    <row r="553" spans="3:3">
      <c r="C553" s="1"/>
    </row>
    <row r="554" spans="3:3">
      <c r="C554" s="1"/>
    </row>
    <row r="555" spans="3:3">
      <c r="C555" s="1"/>
    </row>
    <row r="556" spans="3:3">
      <c r="C556" s="1"/>
    </row>
    <row r="557" spans="3:3">
      <c r="C557" s="1"/>
    </row>
    <row r="558" spans="3:3">
      <c r="C558" s="1"/>
    </row>
    <row r="559" spans="3:3">
      <c r="C559" s="1"/>
    </row>
    <row r="560" spans="3:3">
      <c r="C560" s="1"/>
    </row>
    <row r="561" spans="3:3">
      <c r="C561" s="1"/>
    </row>
    <row r="562" spans="3:3">
      <c r="C562" s="1"/>
    </row>
    <row r="563" spans="3:3">
      <c r="C563" s="1"/>
    </row>
    <row r="564" spans="3:3">
      <c r="C564" s="1"/>
    </row>
    <row r="565" spans="3:3">
      <c r="C565" s="1"/>
    </row>
    <row r="566" spans="3:3">
      <c r="C566" s="1"/>
    </row>
    <row r="567" spans="3:3">
      <c r="C567" s="1"/>
    </row>
    <row r="568" spans="3:3">
      <c r="C568" s="1"/>
    </row>
    <row r="569" spans="3:3">
      <c r="C569" s="1"/>
    </row>
    <row r="570" spans="3:3">
      <c r="C570" s="1"/>
    </row>
    <row r="571" spans="3:3">
      <c r="C571" s="1"/>
    </row>
    <row r="572" spans="3:3">
      <c r="C572" s="1"/>
    </row>
    <row r="573" spans="3:3">
      <c r="C573" s="1"/>
    </row>
    <row r="574" spans="3:3">
      <c r="C574" s="1"/>
    </row>
    <row r="575" spans="3:3">
      <c r="C575" s="1"/>
    </row>
    <row r="576" spans="3:3">
      <c r="C576" s="1"/>
    </row>
    <row r="577" spans="3:3">
      <c r="C577" s="1"/>
    </row>
    <row r="578" spans="3:3">
      <c r="C578" s="1"/>
    </row>
    <row r="579" spans="3:3">
      <c r="C579" s="1"/>
    </row>
    <row r="580" spans="3:3">
      <c r="C580" s="1"/>
    </row>
    <row r="581" spans="3:3">
      <c r="C581" s="1"/>
    </row>
    <row r="582" spans="3:3">
      <c r="C582" s="1"/>
    </row>
    <row r="583" spans="3:3">
      <c r="C583" s="1"/>
    </row>
    <row r="584" spans="3:3">
      <c r="C584" s="1"/>
    </row>
    <row r="585" spans="3:3">
      <c r="C585" s="1"/>
    </row>
    <row r="586" spans="3:3">
      <c r="C586" s="1"/>
    </row>
    <row r="587" spans="3:3">
      <c r="C587" s="1"/>
    </row>
    <row r="588" spans="3:3">
      <c r="C588" s="1"/>
    </row>
    <row r="589" spans="3:3">
      <c r="C589" s="1"/>
    </row>
    <row r="590" spans="3:3">
      <c r="C590" s="1"/>
    </row>
    <row r="591" spans="3:3">
      <c r="C591" s="1"/>
    </row>
    <row r="592" spans="3:3">
      <c r="C592" s="1"/>
    </row>
    <row r="593" spans="3:3">
      <c r="C593" s="1"/>
    </row>
    <row r="594" spans="3:3">
      <c r="C594" s="1"/>
    </row>
    <row r="595" spans="3:3">
      <c r="C595" s="1"/>
    </row>
    <row r="596" spans="3:3">
      <c r="C596" s="1"/>
    </row>
    <row r="597" spans="3:3">
      <c r="C597" s="1"/>
    </row>
    <row r="598" spans="3:3">
      <c r="C598" s="1"/>
    </row>
    <row r="599" spans="3:3">
      <c r="C599" s="1"/>
    </row>
    <row r="600" spans="3:3">
      <c r="C600" s="1"/>
    </row>
    <row r="601" spans="3:3">
      <c r="C601" s="1"/>
    </row>
    <row r="602" spans="3:3">
      <c r="C602" s="1"/>
    </row>
    <row r="603" spans="3:3">
      <c r="C603" s="1"/>
    </row>
    <row r="604" spans="3:3">
      <c r="C604" s="1"/>
    </row>
    <row r="605" spans="3:3">
      <c r="C605" s="1"/>
    </row>
    <row r="606" spans="3:3">
      <c r="C606" s="1"/>
    </row>
    <row r="607" spans="3:3">
      <c r="C607" s="1"/>
    </row>
    <row r="608" spans="3:3">
      <c r="C608" s="1"/>
    </row>
    <row r="609" spans="3:3">
      <c r="C609" s="1"/>
    </row>
    <row r="610" spans="3:3">
      <c r="C610" s="1"/>
    </row>
    <row r="611" spans="3:3">
      <c r="C611" s="1"/>
    </row>
    <row r="612" spans="3:3">
      <c r="C612" s="1"/>
    </row>
    <row r="613" spans="3:3">
      <c r="C613" s="1"/>
    </row>
    <row r="614" spans="3:3">
      <c r="C614" s="1"/>
    </row>
    <row r="615" spans="3:3">
      <c r="C615" s="1"/>
    </row>
    <row r="616" spans="3:3">
      <c r="C616" s="1"/>
    </row>
    <row r="617" spans="3:3">
      <c r="C617" s="1"/>
    </row>
    <row r="618" spans="3:3">
      <c r="C618" s="1"/>
    </row>
    <row r="619" spans="3:3">
      <c r="C619" s="1"/>
    </row>
    <row r="620" spans="3:3">
      <c r="C620" s="1"/>
    </row>
    <row r="621" spans="3:3">
      <c r="C621" s="1"/>
    </row>
    <row r="622" spans="3:3">
      <c r="C622" s="1"/>
    </row>
    <row r="623" spans="3:3">
      <c r="C623" s="1"/>
    </row>
    <row r="624" spans="3:3">
      <c r="C624" s="1"/>
    </row>
    <row r="625" spans="3:3">
      <c r="C625" s="1"/>
    </row>
    <row r="626" spans="3:3">
      <c r="C626" s="1"/>
    </row>
    <row r="627" spans="3:3">
      <c r="C627" s="1"/>
    </row>
    <row r="628" spans="3:3">
      <c r="C628" s="1"/>
    </row>
    <row r="629" spans="3:3">
      <c r="C629" s="1"/>
    </row>
    <row r="630" spans="3:3">
      <c r="C630" s="1"/>
    </row>
    <row r="631" spans="3:3">
      <c r="C631" s="1"/>
    </row>
    <row r="632" spans="3:3">
      <c r="C632" s="1"/>
    </row>
    <row r="633" spans="3:3">
      <c r="C633" s="1"/>
    </row>
    <row r="634" spans="3:3">
      <c r="C634" s="1"/>
    </row>
    <row r="635" spans="3:3">
      <c r="C635" s="1"/>
    </row>
    <row r="636" spans="3:3">
      <c r="C636" s="1"/>
    </row>
    <row r="637" spans="3:3">
      <c r="C637" s="1"/>
    </row>
    <row r="638" spans="3:3">
      <c r="C638" s="1"/>
    </row>
    <row r="639" spans="3:3">
      <c r="C639" s="1"/>
    </row>
    <row r="640" spans="3:3">
      <c r="C640" s="1"/>
    </row>
    <row r="641" spans="3:3">
      <c r="C641" s="1"/>
    </row>
    <row r="642" spans="3:3">
      <c r="C642" s="1"/>
    </row>
    <row r="643" spans="3:3">
      <c r="C643" s="1"/>
    </row>
    <row r="644" spans="3:3">
      <c r="C644" s="1"/>
    </row>
    <row r="645" spans="3:3">
      <c r="C645" s="1"/>
    </row>
    <row r="646" spans="3:3">
      <c r="C646" s="1"/>
    </row>
    <row r="647" spans="3:3">
      <c r="C647" s="1"/>
    </row>
    <row r="648" spans="3:3">
      <c r="C648" s="1"/>
    </row>
    <row r="649" spans="3:3">
      <c r="C649" s="1"/>
    </row>
    <row r="650" spans="3:3">
      <c r="C650" s="1"/>
    </row>
    <row r="651" spans="3:3">
      <c r="C651" s="1"/>
    </row>
    <row r="652" spans="3:3">
      <c r="C652" s="1"/>
    </row>
    <row r="653" spans="3:3">
      <c r="C653" s="1"/>
    </row>
    <row r="654" spans="3:3">
      <c r="C654" s="1"/>
    </row>
    <row r="655" spans="3:3">
      <c r="C655" s="1"/>
    </row>
    <row r="656" spans="3:3">
      <c r="C656" s="1"/>
    </row>
    <row r="657" spans="3:3">
      <c r="C657" s="1"/>
    </row>
    <row r="658" spans="3:3">
      <c r="C658" s="1"/>
    </row>
    <row r="659" spans="3:3">
      <c r="C659" s="1"/>
    </row>
    <row r="660" spans="3:3">
      <c r="C660" s="1"/>
    </row>
    <row r="661" spans="3:3">
      <c r="C661" s="1"/>
    </row>
    <row r="662" spans="3:3">
      <c r="C662" s="1"/>
    </row>
    <row r="663" spans="3:3">
      <c r="C663" s="1"/>
    </row>
    <row r="664" spans="3:3">
      <c r="C664" s="1"/>
    </row>
    <row r="665" spans="3:3">
      <c r="C665" s="1"/>
    </row>
    <row r="666" spans="3:3">
      <c r="C666" s="1"/>
    </row>
    <row r="667" spans="3:3">
      <c r="C667" s="1"/>
    </row>
    <row r="668" spans="3:3">
      <c r="C668" s="1"/>
    </row>
    <row r="669" spans="3:3">
      <c r="C669" s="1"/>
    </row>
    <row r="670" spans="3:3">
      <c r="C670" s="1"/>
    </row>
    <row r="671" spans="3:3">
      <c r="C671" s="1"/>
    </row>
    <row r="672" spans="3:3">
      <c r="C672" s="1"/>
    </row>
    <row r="673" spans="3:3">
      <c r="C673" s="1"/>
    </row>
    <row r="674" spans="3:3">
      <c r="C674" s="1"/>
    </row>
    <row r="675" spans="3:3">
      <c r="C675" s="1"/>
    </row>
    <row r="676" spans="3:3">
      <c r="C676" s="1"/>
    </row>
    <row r="677" spans="3:3">
      <c r="C677" s="1"/>
    </row>
    <row r="678" spans="3:3">
      <c r="C678" s="1"/>
    </row>
    <row r="679" spans="3:3">
      <c r="C679" s="1"/>
    </row>
    <row r="680" spans="3:3">
      <c r="C680" s="1"/>
    </row>
    <row r="681" spans="3:3">
      <c r="C681" s="1"/>
    </row>
    <row r="682" spans="3:3">
      <c r="C682" s="1"/>
    </row>
    <row r="683" spans="3:3">
      <c r="C683" s="1"/>
    </row>
    <row r="684" spans="3:3">
      <c r="C684" s="1"/>
    </row>
    <row r="685" spans="3:3">
      <c r="C685" s="1"/>
    </row>
    <row r="686" spans="3:3">
      <c r="C686" s="1"/>
    </row>
    <row r="687" spans="3:3">
      <c r="C687" s="1"/>
    </row>
    <row r="688" spans="3:3">
      <c r="C688" s="1"/>
    </row>
    <row r="689" spans="3:3">
      <c r="C689" s="1"/>
    </row>
    <row r="690" spans="3:3">
      <c r="C690" s="1"/>
    </row>
    <row r="691" spans="3:3">
      <c r="C691" s="1"/>
    </row>
    <row r="692" spans="3:3">
      <c r="C692" s="1"/>
    </row>
    <row r="693" spans="3:3">
      <c r="C693" s="1"/>
    </row>
    <row r="694" spans="3:3">
      <c r="C694" s="1"/>
    </row>
    <row r="695" spans="3:3">
      <c r="C695" s="1"/>
    </row>
    <row r="696" spans="3:3">
      <c r="C696" s="1"/>
    </row>
    <row r="697" spans="3:3">
      <c r="C697" s="1"/>
    </row>
    <row r="698" spans="3:3">
      <c r="C698" s="1"/>
    </row>
    <row r="699" spans="3:3">
      <c r="C699" s="1"/>
    </row>
    <row r="700" spans="3:3">
      <c r="C700" s="1"/>
    </row>
    <row r="701" spans="3:3">
      <c r="C701" s="1"/>
    </row>
    <row r="702" spans="3:3">
      <c r="C702" s="1"/>
    </row>
    <row r="703" spans="3:3">
      <c r="C703" s="1"/>
    </row>
    <row r="704" spans="3:3">
      <c r="C704" s="1"/>
    </row>
    <row r="705" spans="3:3">
      <c r="C705" s="1"/>
    </row>
    <row r="706" spans="3:3">
      <c r="C706" s="1"/>
    </row>
    <row r="707" spans="3:3">
      <c r="C707" s="1"/>
    </row>
    <row r="708" spans="3:3">
      <c r="C708" s="1"/>
    </row>
    <row r="709" spans="3:3">
      <c r="C709" s="1"/>
    </row>
    <row r="710" spans="3:3">
      <c r="C710" s="1"/>
    </row>
    <row r="711" spans="3:3">
      <c r="C711" s="1"/>
    </row>
    <row r="712" spans="3:3">
      <c r="C712" s="1"/>
    </row>
    <row r="713" spans="3:3">
      <c r="C713" s="1"/>
    </row>
    <row r="714" spans="3:3">
      <c r="C714" s="1"/>
    </row>
    <row r="715" spans="3:3">
      <c r="C715" s="1"/>
    </row>
    <row r="716" spans="3:3">
      <c r="C716" s="1"/>
    </row>
    <row r="717" spans="3:3">
      <c r="C717" s="1"/>
    </row>
    <row r="718" spans="3:3">
      <c r="C718" s="1"/>
    </row>
    <row r="719" spans="3:3">
      <c r="C719" s="1"/>
    </row>
    <row r="720" spans="3:3">
      <c r="C720" s="1"/>
    </row>
    <row r="721" spans="3:3">
      <c r="C721" s="1"/>
    </row>
    <row r="722" spans="3:3">
      <c r="C722" s="1"/>
    </row>
    <row r="723" spans="3:3">
      <c r="C723" s="1"/>
    </row>
    <row r="724" spans="3:3">
      <c r="C724" s="1"/>
    </row>
    <row r="725" spans="3:3">
      <c r="C725" s="1"/>
    </row>
    <row r="726" spans="3:3">
      <c r="C726" s="1"/>
    </row>
    <row r="727" spans="3:3">
      <c r="C727" s="1"/>
    </row>
    <row r="728" spans="3:3">
      <c r="C728" s="1"/>
    </row>
    <row r="729" spans="3:3">
      <c r="C729" s="1"/>
    </row>
    <row r="730" spans="3:3">
      <c r="C730" s="1"/>
    </row>
    <row r="731" spans="3:3">
      <c r="C731" s="1"/>
    </row>
    <row r="732" spans="3:3">
      <c r="C732" s="1"/>
    </row>
    <row r="733" spans="3:3">
      <c r="C733" s="1"/>
    </row>
    <row r="734" spans="3:3">
      <c r="C734" s="1"/>
    </row>
    <row r="735" spans="3:3">
      <c r="C735" s="1"/>
    </row>
    <row r="736" spans="3:3">
      <c r="C736" s="1"/>
    </row>
    <row r="737" spans="3:3">
      <c r="C737" s="1"/>
    </row>
    <row r="738" spans="3:3">
      <c r="C738" s="1"/>
    </row>
    <row r="739" spans="3:3">
      <c r="C739" s="1"/>
    </row>
    <row r="740" spans="3:3">
      <c r="C740" s="1"/>
    </row>
    <row r="741" spans="3:3">
      <c r="C741" s="1"/>
    </row>
    <row r="742" spans="3:3">
      <c r="C742" s="1"/>
    </row>
    <row r="743" spans="3:3">
      <c r="C743" s="1"/>
    </row>
    <row r="744" spans="3:3">
      <c r="C744" s="1"/>
    </row>
    <row r="745" spans="3:3">
      <c r="C745" s="1"/>
    </row>
    <row r="746" spans="3:3">
      <c r="C746" s="1"/>
    </row>
    <row r="747" spans="3:3">
      <c r="C747" s="1"/>
    </row>
    <row r="748" spans="3:3">
      <c r="C748" s="1"/>
    </row>
    <row r="749" spans="3:3">
      <c r="C749" s="1"/>
    </row>
    <row r="750" spans="3:3">
      <c r="C750" s="1"/>
    </row>
    <row r="751" spans="3:3">
      <c r="C751" s="1"/>
    </row>
    <row r="752" spans="3:3">
      <c r="C752" s="1"/>
    </row>
    <row r="753" spans="3:3">
      <c r="C753" s="1"/>
    </row>
    <row r="754" spans="3:3">
      <c r="C754" s="1"/>
    </row>
    <row r="755" spans="3:3">
      <c r="C755" s="1"/>
    </row>
    <row r="756" spans="3:3">
      <c r="C756" s="1"/>
    </row>
    <row r="757" spans="3:3">
      <c r="C757" s="1"/>
    </row>
    <row r="758" spans="3:3">
      <c r="C758" s="1"/>
    </row>
    <row r="759" spans="3:3">
      <c r="C759" s="1"/>
    </row>
    <row r="760" spans="3:3">
      <c r="C760" s="1"/>
    </row>
    <row r="761" spans="3:3">
      <c r="C761" s="1"/>
    </row>
    <row r="762" spans="3:3">
      <c r="C762" s="1"/>
    </row>
    <row r="763" spans="3:3">
      <c r="C763" s="1"/>
    </row>
    <row r="764" spans="3:3">
      <c r="C764" s="1"/>
    </row>
    <row r="765" spans="3:3">
      <c r="C765" s="1"/>
    </row>
    <row r="766" spans="3:3">
      <c r="C766" s="1"/>
    </row>
    <row r="767" spans="3:3">
      <c r="C767" s="1"/>
    </row>
    <row r="768" spans="3:3">
      <c r="C768" s="1"/>
    </row>
    <row r="769" spans="3:3">
      <c r="C769" s="1"/>
    </row>
    <row r="770" spans="3:3">
      <c r="C770" s="1"/>
    </row>
    <row r="771" spans="3:3">
      <c r="C771" s="1"/>
    </row>
    <row r="772" spans="3:3">
      <c r="C772" s="1"/>
    </row>
    <row r="773" spans="3:3">
      <c r="C773" s="1"/>
    </row>
    <row r="774" spans="3:3">
      <c r="C774" s="1"/>
    </row>
    <row r="775" spans="3:3">
      <c r="C775" s="1"/>
    </row>
    <row r="776" spans="3:3">
      <c r="C776" s="1"/>
    </row>
    <row r="777" spans="3:3">
      <c r="C777" s="1"/>
    </row>
    <row r="778" spans="3:3">
      <c r="C778" s="1"/>
    </row>
    <row r="779" spans="3:3">
      <c r="C779" s="1"/>
    </row>
    <row r="780" spans="3:3">
      <c r="C780" s="1"/>
    </row>
    <row r="781" spans="3:3">
      <c r="C781" s="1"/>
    </row>
    <row r="782" spans="3:3">
      <c r="C782" s="1"/>
    </row>
    <row r="783" spans="3:3">
      <c r="C783" s="1"/>
    </row>
    <row r="784" spans="3:3">
      <c r="C784" s="1"/>
    </row>
    <row r="785" spans="3:3">
      <c r="C785" s="1"/>
    </row>
    <row r="786" spans="3:3">
      <c r="C786" s="1"/>
    </row>
    <row r="787" spans="3:3">
      <c r="C787" s="1"/>
    </row>
    <row r="788" spans="3:3">
      <c r="C788" s="1"/>
    </row>
    <row r="789" spans="3:3">
      <c r="C789" s="1"/>
    </row>
    <row r="790" spans="3:3">
      <c r="C790" s="1"/>
    </row>
    <row r="791" spans="3:3">
      <c r="C791" s="1"/>
    </row>
    <row r="792" spans="3:3">
      <c r="C792" s="1"/>
    </row>
    <row r="793" spans="3:3">
      <c r="C793" s="1"/>
    </row>
    <row r="794" spans="3:3">
      <c r="C794" s="1"/>
    </row>
    <row r="795" spans="3:3">
      <c r="C795" s="1"/>
    </row>
    <row r="796" spans="3:3">
      <c r="C796" s="1"/>
    </row>
    <row r="797" spans="3:3">
      <c r="C797" s="1"/>
    </row>
    <row r="798" spans="3:3">
      <c r="C798" s="1"/>
    </row>
    <row r="799" spans="3:3">
      <c r="C799" s="1"/>
    </row>
    <row r="800" spans="3:3">
      <c r="C800" s="1"/>
    </row>
    <row r="801" spans="3:3">
      <c r="C801" s="1"/>
    </row>
    <row r="802" spans="3:3">
      <c r="C802" s="1"/>
    </row>
    <row r="803" spans="3:3">
      <c r="C803" s="1"/>
    </row>
    <row r="804" spans="3:3">
      <c r="C804" s="1"/>
    </row>
    <row r="805" spans="3:3">
      <c r="C805" s="1"/>
    </row>
    <row r="806" spans="3:3">
      <c r="C806" s="1"/>
    </row>
    <row r="807" spans="3:3">
      <c r="C807" s="1"/>
    </row>
    <row r="808" spans="3:3">
      <c r="C808" s="1"/>
    </row>
    <row r="809" spans="3:3">
      <c r="C809" s="1"/>
    </row>
    <row r="810" spans="3:3">
      <c r="C810" s="1"/>
    </row>
    <row r="811" spans="3:3">
      <c r="C811" s="1"/>
    </row>
    <row r="812" spans="3:3">
      <c r="C812" s="1"/>
    </row>
    <row r="813" spans="3:3">
      <c r="C813" s="1"/>
    </row>
    <row r="814" spans="3:3">
      <c r="C814" s="1"/>
    </row>
    <row r="815" spans="3:3">
      <c r="C815" s="1"/>
    </row>
    <row r="816" spans="3:3">
      <c r="C816" s="1"/>
    </row>
    <row r="817" spans="3:3">
      <c r="C817" s="1"/>
    </row>
    <row r="818" spans="3:3">
      <c r="C818" s="1"/>
    </row>
    <row r="819" spans="3:3">
      <c r="C819" s="1"/>
    </row>
    <row r="820" spans="3:3">
      <c r="C820" s="1"/>
    </row>
    <row r="821" spans="3:3">
      <c r="C821" s="1"/>
    </row>
    <row r="822" spans="3:3">
      <c r="C822" s="1"/>
    </row>
    <row r="823" spans="3:3">
      <c r="C823" s="1"/>
    </row>
    <row r="824" spans="3:3">
      <c r="C824" s="1"/>
    </row>
    <row r="825" spans="3:3">
      <c r="C825" s="1"/>
    </row>
    <row r="826" spans="3:3">
      <c r="C826" s="1"/>
    </row>
    <row r="827" spans="3:3">
      <c r="C827" s="1"/>
    </row>
    <row r="828" spans="3:3">
      <c r="C828" s="1"/>
    </row>
    <row r="829" spans="3:3">
      <c r="C829" s="1"/>
    </row>
    <row r="830" spans="3:3">
      <c r="C830" s="1"/>
    </row>
    <row r="831" spans="3:3">
      <c r="C831" s="1"/>
    </row>
    <row r="832" spans="3:3">
      <c r="C832" s="1"/>
    </row>
    <row r="833" spans="3:3">
      <c r="C833" s="1"/>
    </row>
    <row r="834" spans="3:3">
      <c r="C834" s="1"/>
    </row>
    <row r="835" spans="3:3">
      <c r="C835" s="1"/>
    </row>
    <row r="836" spans="3:3">
      <c r="C836" s="1"/>
    </row>
    <row r="837" spans="3:3">
      <c r="C837" s="1"/>
    </row>
    <row r="838" spans="3:3">
      <c r="C838" s="1"/>
    </row>
    <row r="839" spans="3:3">
      <c r="C839" s="1"/>
    </row>
    <row r="840" spans="3:3">
      <c r="C840" s="1"/>
    </row>
    <row r="841" spans="3:3">
      <c r="C841" s="1"/>
    </row>
    <row r="842" spans="3:3">
      <c r="C842" s="1"/>
    </row>
    <row r="843" spans="3:3">
      <c r="C843" s="1"/>
    </row>
    <row r="844" spans="3:3">
      <c r="C844" s="1"/>
    </row>
    <row r="845" spans="3:3">
      <c r="C845" s="1"/>
    </row>
    <row r="846" spans="3:3">
      <c r="C846" s="1"/>
    </row>
    <row r="847" spans="3:3">
      <c r="C847" s="1"/>
    </row>
    <row r="848" spans="3:3">
      <c r="C848" s="1"/>
    </row>
    <row r="849" spans="3:3">
      <c r="C849" s="1"/>
    </row>
    <row r="850" spans="3:3">
      <c r="C850" s="1"/>
    </row>
    <row r="851" spans="3:3">
      <c r="C851" s="1"/>
    </row>
    <row r="852" spans="3:3">
      <c r="C852" s="1"/>
    </row>
    <row r="853" spans="3:3">
      <c r="C853" s="1"/>
    </row>
    <row r="854" spans="3:3">
      <c r="C854" s="1"/>
    </row>
    <row r="855" spans="3:3">
      <c r="C855" s="1"/>
    </row>
    <row r="856" spans="3:3">
      <c r="C856" s="1"/>
    </row>
    <row r="857" spans="3:3">
      <c r="C857" s="1"/>
    </row>
    <row r="858" spans="3:3">
      <c r="C858" s="1"/>
    </row>
    <row r="859" spans="3:3">
      <c r="C859" s="1"/>
    </row>
    <row r="860" spans="3:3">
      <c r="C860" s="1"/>
    </row>
    <row r="861" spans="3:3">
      <c r="C861" s="1"/>
    </row>
    <row r="862" spans="3:3">
      <c r="C862" s="1"/>
    </row>
    <row r="863" spans="3:3">
      <c r="C863" s="1"/>
    </row>
    <row r="864" spans="3:3">
      <c r="C864" s="1"/>
    </row>
    <row r="865" spans="3:3">
      <c r="C865" s="1"/>
    </row>
    <row r="866" spans="3:3">
      <c r="C866" s="1"/>
    </row>
    <row r="867" spans="3:3">
      <c r="C867" s="1"/>
    </row>
    <row r="868" spans="3:3">
      <c r="C868" s="1"/>
    </row>
    <row r="869" spans="3:3">
      <c r="C869" s="1"/>
    </row>
    <row r="870" spans="3:3">
      <c r="C870" s="1"/>
    </row>
    <row r="871" spans="3:3">
      <c r="C871" s="1"/>
    </row>
    <row r="872" spans="3:3">
      <c r="C872" s="1"/>
    </row>
    <row r="873" spans="3:3">
      <c r="C873" s="1"/>
    </row>
    <row r="874" spans="3:3">
      <c r="C874" s="1"/>
    </row>
    <row r="875" spans="3:3">
      <c r="C875" s="1"/>
    </row>
    <row r="876" spans="3:3">
      <c r="C876" s="1"/>
    </row>
    <row r="877" spans="3:3">
      <c r="C877" s="1"/>
    </row>
    <row r="878" spans="3:3">
      <c r="C878" s="1"/>
    </row>
    <row r="879" spans="3:3">
      <c r="C879" s="1"/>
    </row>
    <row r="880" spans="3:3">
      <c r="C880" s="1"/>
    </row>
    <row r="881" spans="3:3">
      <c r="C881" s="1"/>
    </row>
    <row r="882" spans="3:3">
      <c r="C882" s="1"/>
    </row>
    <row r="883" spans="3:3">
      <c r="C883" s="1"/>
    </row>
    <row r="884" spans="3:3">
      <c r="C884" s="1"/>
    </row>
    <row r="885" spans="3:3">
      <c r="C885" s="1"/>
    </row>
    <row r="886" spans="3:3">
      <c r="C886" s="1"/>
    </row>
    <row r="887" spans="3:3">
      <c r="C887" s="1"/>
    </row>
    <row r="888" spans="3:3">
      <c r="C888" s="1"/>
    </row>
    <row r="889" spans="3:3">
      <c r="C889" s="1"/>
    </row>
    <row r="890" spans="3:3">
      <c r="C890" s="1"/>
    </row>
    <row r="891" spans="3:3">
      <c r="C891" s="1"/>
    </row>
    <row r="892" spans="3:3">
      <c r="C892" s="1"/>
    </row>
    <row r="893" spans="3:3">
      <c r="C893" s="1"/>
    </row>
    <row r="894" spans="3:3">
      <c r="C894" s="1"/>
    </row>
    <row r="895" spans="3:3">
      <c r="C895" s="1"/>
    </row>
    <row r="896" spans="3:3">
      <c r="C896" s="1"/>
    </row>
    <row r="897" spans="3:3">
      <c r="C897" s="1"/>
    </row>
    <row r="898" spans="3:3">
      <c r="C898" s="1"/>
    </row>
    <row r="899" spans="3:3">
      <c r="C899" s="1"/>
    </row>
    <row r="900" spans="3:3">
      <c r="C900" s="1"/>
    </row>
    <row r="901" spans="3:3">
      <c r="C901" s="1"/>
    </row>
    <row r="902" spans="3:3">
      <c r="C902" s="1"/>
    </row>
    <row r="903" spans="3:3">
      <c r="C903" s="1"/>
    </row>
    <row r="904" spans="3:3">
      <c r="C904" s="1"/>
    </row>
    <row r="905" spans="3:3">
      <c r="C905" s="1"/>
    </row>
    <row r="906" spans="3:3">
      <c r="C906" s="1"/>
    </row>
    <row r="907" spans="3:3">
      <c r="C907" s="1"/>
    </row>
    <row r="908" spans="3:3">
      <c r="C908" s="1"/>
    </row>
    <row r="909" spans="3:3">
      <c r="C909" s="1"/>
    </row>
    <row r="910" spans="3:3">
      <c r="C910" s="1"/>
    </row>
    <row r="911" spans="3:3">
      <c r="C911" s="1"/>
    </row>
    <row r="912" spans="3:3">
      <c r="C912" s="1"/>
    </row>
    <row r="913" spans="3:3">
      <c r="C913" s="1"/>
    </row>
    <row r="914" spans="3:3">
      <c r="C914" s="1"/>
    </row>
    <row r="915" spans="3:3">
      <c r="C915" s="1"/>
    </row>
    <row r="916" spans="3:3">
      <c r="C916" s="1"/>
    </row>
    <row r="917" spans="3:3">
      <c r="C917" s="1"/>
    </row>
    <row r="918" spans="3:3">
      <c r="C918" s="1"/>
    </row>
    <row r="919" spans="3:3">
      <c r="C919" s="1"/>
    </row>
    <row r="920" spans="3:3">
      <c r="C920" s="1"/>
    </row>
    <row r="921" spans="3:3">
      <c r="C921" s="1"/>
    </row>
    <row r="922" spans="3:3">
      <c r="C922" s="1"/>
    </row>
    <row r="923" spans="3:3">
      <c r="C923" s="1"/>
    </row>
    <row r="924" spans="3:3">
      <c r="C924" s="1"/>
    </row>
    <row r="925" spans="3:3">
      <c r="C925" s="1"/>
    </row>
    <row r="926" spans="3:3">
      <c r="C926" s="1"/>
    </row>
    <row r="927" spans="3:3">
      <c r="C927" s="1"/>
    </row>
    <row r="928" spans="3:3">
      <c r="C928" s="1"/>
    </row>
    <row r="929" spans="3:3">
      <c r="C929" s="1"/>
    </row>
    <row r="930" spans="3:3">
      <c r="C930" s="1"/>
    </row>
    <row r="931" spans="3:3">
      <c r="C931" s="1"/>
    </row>
    <row r="932" spans="3:3">
      <c r="C932" s="1"/>
    </row>
    <row r="933" spans="3:3">
      <c r="C933" s="1"/>
    </row>
    <row r="934" spans="3:3">
      <c r="C934" s="1"/>
    </row>
    <row r="935" spans="3:3">
      <c r="C935" s="1"/>
    </row>
    <row r="936" spans="3:3">
      <c r="C936" s="1"/>
    </row>
    <row r="937" spans="3:3">
      <c r="C937" s="1"/>
    </row>
    <row r="938" spans="3:3">
      <c r="C938" s="1"/>
    </row>
    <row r="939" spans="3:3">
      <c r="C939" s="1"/>
    </row>
    <row r="940" spans="3:3">
      <c r="C940" s="1"/>
    </row>
    <row r="941" spans="3:3">
      <c r="C941" s="1"/>
    </row>
    <row r="942" spans="3:3">
      <c r="C942" s="1"/>
    </row>
    <row r="943" spans="3:3">
      <c r="C943" s="1"/>
    </row>
    <row r="944" spans="3:3">
      <c r="C944" s="1"/>
    </row>
    <row r="945" spans="3:3">
      <c r="C945" s="1"/>
    </row>
    <row r="946" spans="3:3">
      <c r="C946" s="1"/>
    </row>
    <row r="947" spans="3:3">
      <c r="C947" s="1"/>
    </row>
    <row r="948" spans="3:3">
      <c r="C948" s="1"/>
    </row>
    <row r="949" spans="3:3">
      <c r="C949" s="1"/>
    </row>
    <row r="950" spans="3:3">
      <c r="C950" s="1"/>
    </row>
    <row r="951" spans="3:3">
      <c r="C951" s="1"/>
    </row>
    <row r="952" spans="3:3">
      <c r="C952" s="1"/>
    </row>
    <row r="953" spans="3:3">
      <c r="C953" s="1"/>
    </row>
    <row r="954" spans="3:3">
      <c r="C954" s="1"/>
    </row>
    <row r="955" spans="3:3">
      <c r="C955" s="1"/>
    </row>
    <row r="956" spans="3:3">
      <c r="C956" s="1"/>
    </row>
    <row r="957" spans="3:3">
      <c r="C957" s="1"/>
    </row>
    <row r="958" spans="3:3">
      <c r="C958" s="1"/>
    </row>
    <row r="959" spans="3:3">
      <c r="C959" s="1"/>
    </row>
    <row r="960" spans="3:3">
      <c r="C960" s="1"/>
    </row>
    <row r="961" spans="3:3">
      <c r="C961" s="1"/>
    </row>
    <row r="962" spans="3:3">
      <c r="C962" s="1"/>
    </row>
    <row r="963" spans="3:3">
      <c r="C963" s="1"/>
    </row>
    <row r="964" spans="3:3">
      <c r="C964" s="1"/>
    </row>
    <row r="965" spans="3:3">
      <c r="C965" s="1"/>
    </row>
    <row r="966" spans="3:3">
      <c r="C966" s="1"/>
    </row>
    <row r="967" spans="3:3">
      <c r="C967" s="1"/>
    </row>
    <row r="968" spans="3:3">
      <c r="C968" s="1"/>
    </row>
    <row r="969" spans="3:3">
      <c r="C969" s="1"/>
    </row>
    <row r="970" spans="3:3">
      <c r="C970" s="1"/>
    </row>
    <row r="971" spans="3:3">
      <c r="C971" s="1"/>
    </row>
    <row r="972" spans="3:3">
      <c r="C972" s="1"/>
    </row>
    <row r="973" spans="3:3">
      <c r="C973" s="1"/>
    </row>
    <row r="974" spans="3:3">
      <c r="C974" s="1"/>
    </row>
    <row r="975" spans="3:3">
      <c r="C975" s="1"/>
    </row>
    <row r="976" spans="3:3">
      <c r="C976" s="1"/>
    </row>
    <row r="977" spans="3:3">
      <c r="C977" s="1"/>
    </row>
    <row r="978" spans="3:3">
      <c r="C978" s="1"/>
    </row>
    <row r="979" spans="3:3">
      <c r="C979" s="1"/>
    </row>
    <row r="980" spans="3:3">
      <c r="C980" s="1"/>
    </row>
    <row r="981" spans="3:3">
      <c r="C981" s="1"/>
    </row>
    <row r="982" spans="3:3">
      <c r="C982" s="1"/>
    </row>
    <row r="983" spans="3:3">
      <c r="C983" s="1"/>
    </row>
    <row r="984" spans="3:3">
      <c r="C984" s="1"/>
    </row>
    <row r="985" spans="3:3">
      <c r="C985" s="1"/>
    </row>
    <row r="986" spans="3:3">
      <c r="C986" s="1"/>
    </row>
    <row r="987" spans="3:3">
      <c r="C987" s="1"/>
    </row>
    <row r="988" spans="3:3">
      <c r="C988" s="1"/>
    </row>
    <row r="989" spans="3:3">
      <c r="C989" s="1"/>
    </row>
    <row r="990" spans="3:3">
      <c r="C990" s="1"/>
    </row>
    <row r="991" spans="3:3">
      <c r="C991" s="1"/>
    </row>
    <row r="992" spans="3:3">
      <c r="C992" s="1"/>
    </row>
    <row r="993" spans="3:3">
      <c r="C993" s="1"/>
    </row>
    <row r="994" spans="3:3">
      <c r="C994" s="1"/>
    </row>
    <row r="995" spans="3:3">
      <c r="C995" s="1"/>
    </row>
    <row r="996" spans="3:3">
      <c r="C996" s="1"/>
    </row>
    <row r="997" spans="3:3">
      <c r="C997" s="1"/>
    </row>
    <row r="998" spans="3:3">
      <c r="C998" s="1"/>
    </row>
    <row r="999" spans="3:3">
      <c r="C999" s="1"/>
    </row>
    <row r="1000" spans="3:3">
      <c r="C1000" s="1"/>
    </row>
  </sheetData>
  <mergeCells count="22">
    <mergeCell ref="G7:G8"/>
    <mergeCell ref="H7:H8"/>
    <mergeCell ref="I7:I8"/>
    <mergeCell ref="J7:J8"/>
    <mergeCell ref="C3:J4"/>
    <mergeCell ref="E5:J5"/>
    <mergeCell ref="F6:J6"/>
    <mergeCell ref="B7:B8"/>
    <mergeCell ref="C7:D8"/>
    <mergeCell ref="E7:E8"/>
    <mergeCell ref="F7:F8"/>
    <mergeCell ref="C16:D16"/>
    <mergeCell ref="C17:D17"/>
    <mergeCell ref="C18:D18"/>
    <mergeCell ref="C19:D19"/>
    <mergeCell ref="C9:D9"/>
    <mergeCell ref="C10:D10"/>
    <mergeCell ref="C11:D11"/>
    <mergeCell ref="C12:D12"/>
    <mergeCell ref="C13:D13"/>
    <mergeCell ref="C14:D14"/>
    <mergeCell ref="C15:D15"/>
  </mergeCells>
  <printOptions horizontalCentered="1" verticalCentered="1"/>
  <pageMargins left="0.47"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FDCC-4DD5-4709-B964-7F1D7D7B7CE7}">
  <dimension ref="A1:Z1000"/>
  <sheetViews>
    <sheetView topLeftCell="A33" workbookViewId="0">
      <selection activeCell="E44" sqref="E44"/>
    </sheetView>
  </sheetViews>
  <sheetFormatPr defaultColWidth="14.42578125" defaultRowHeight="15" customHeight="1"/>
  <cols>
    <col min="1" max="1" width="10.7109375" customWidth="1"/>
    <col min="2" max="2" width="34.5703125" customWidth="1"/>
    <col min="3" max="3" width="16.140625" customWidth="1"/>
    <col min="4" max="26" width="10.7109375" customWidth="1"/>
  </cols>
  <sheetData>
    <row r="1" spans="1:26" ht="51" customHeight="1">
      <c r="A1" s="10"/>
      <c r="B1" s="11" t="s">
        <v>1</v>
      </c>
      <c r="C1" s="62" t="s">
        <v>2</v>
      </c>
      <c r="D1" s="57"/>
      <c r="E1" s="10"/>
      <c r="F1" s="10"/>
      <c r="G1" s="10"/>
      <c r="H1" s="10"/>
      <c r="I1" s="10"/>
      <c r="J1" s="10"/>
      <c r="K1" s="10"/>
      <c r="L1" s="10"/>
      <c r="M1" s="10"/>
      <c r="N1" s="10"/>
      <c r="O1" s="10"/>
      <c r="P1" s="10"/>
      <c r="Q1" s="10"/>
      <c r="R1" s="10"/>
      <c r="S1" s="10"/>
      <c r="T1" s="10"/>
      <c r="U1" s="10"/>
      <c r="V1" s="10"/>
      <c r="W1" s="10"/>
      <c r="X1" s="10"/>
      <c r="Y1" s="10"/>
      <c r="Z1" s="10"/>
    </row>
    <row r="2" spans="1:26" ht="14.25" customHeight="1">
      <c r="A2" s="36"/>
      <c r="B2" s="12" t="s">
        <v>55</v>
      </c>
      <c r="C2" s="63">
        <v>46126</v>
      </c>
      <c r="D2" s="57"/>
      <c r="E2" s="36"/>
      <c r="F2" s="36"/>
      <c r="G2" s="36"/>
      <c r="H2" s="36"/>
      <c r="I2" s="36"/>
      <c r="J2" s="36"/>
      <c r="K2" s="36"/>
      <c r="L2" s="36"/>
      <c r="M2" s="36"/>
      <c r="N2" s="36"/>
      <c r="O2" s="36"/>
      <c r="P2" s="36"/>
      <c r="Q2" s="36"/>
      <c r="R2" s="36"/>
      <c r="S2" s="36"/>
      <c r="T2" s="36"/>
      <c r="U2" s="36"/>
      <c r="V2" s="36"/>
      <c r="W2" s="36"/>
      <c r="X2" s="36"/>
      <c r="Y2" s="36"/>
      <c r="Z2" s="36"/>
    </row>
    <row r="3" spans="1:26" ht="14.25" customHeight="1">
      <c r="A3" s="36"/>
      <c r="B3" s="12" t="s">
        <v>56</v>
      </c>
      <c r="C3" s="64" t="s">
        <v>57</v>
      </c>
      <c r="D3" s="57"/>
      <c r="E3" s="36"/>
      <c r="F3" s="36"/>
      <c r="G3" s="36"/>
      <c r="H3" s="36"/>
      <c r="I3" s="36"/>
      <c r="J3" s="36"/>
      <c r="K3" s="36"/>
      <c r="L3" s="36"/>
      <c r="M3" s="36"/>
      <c r="N3" s="36"/>
      <c r="O3" s="36"/>
      <c r="P3" s="36"/>
      <c r="Q3" s="36"/>
      <c r="R3" s="36"/>
      <c r="S3" s="36"/>
      <c r="T3" s="36"/>
      <c r="U3" s="36"/>
      <c r="V3" s="36"/>
      <c r="W3" s="36"/>
      <c r="X3" s="36"/>
      <c r="Y3" s="36"/>
      <c r="Z3" s="36"/>
    </row>
    <row r="4" spans="1:26" ht="14.25" customHeight="1">
      <c r="A4" s="36"/>
      <c r="B4" s="12" t="s">
        <v>58</v>
      </c>
      <c r="C4" s="64" t="s">
        <v>9</v>
      </c>
      <c r="D4" s="57"/>
      <c r="E4" s="36"/>
      <c r="F4" s="36"/>
      <c r="G4" s="36"/>
      <c r="H4" s="36"/>
      <c r="I4" s="36"/>
      <c r="J4" s="36"/>
      <c r="K4" s="36"/>
      <c r="L4" s="36"/>
      <c r="M4" s="36"/>
      <c r="N4" s="36"/>
      <c r="O4" s="36"/>
      <c r="P4" s="36"/>
      <c r="Q4" s="36"/>
      <c r="R4" s="36"/>
      <c r="S4" s="36"/>
      <c r="T4" s="36"/>
      <c r="U4" s="36"/>
      <c r="V4" s="36"/>
      <c r="W4" s="36"/>
      <c r="X4" s="36"/>
      <c r="Y4" s="36"/>
      <c r="Z4" s="36"/>
    </row>
    <row r="5" spans="1:26" ht="14.25" customHeight="1">
      <c r="A5" s="36"/>
      <c r="B5" s="36"/>
      <c r="C5" s="36"/>
      <c r="D5" s="36"/>
      <c r="E5" s="36"/>
      <c r="F5" s="36"/>
      <c r="G5" s="36"/>
      <c r="H5" s="36"/>
      <c r="I5" s="36"/>
      <c r="J5" s="36"/>
      <c r="K5" s="36"/>
      <c r="L5" s="36"/>
      <c r="M5" s="36"/>
      <c r="N5" s="36"/>
      <c r="O5" s="36"/>
      <c r="P5" s="36"/>
      <c r="Q5" s="36"/>
      <c r="R5" s="36"/>
      <c r="S5" s="36"/>
      <c r="T5" s="36"/>
      <c r="U5" s="36"/>
      <c r="V5" s="36"/>
      <c r="W5" s="36"/>
      <c r="X5" s="36"/>
      <c r="Y5" s="36"/>
      <c r="Z5" s="36"/>
    </row>
    <row r="6" spans="1:26" ht="14.25" customHeight="1">
      <c r="A6" s="65" t="s">
        <v>59</v>
      </c>
      <c r="B6" s="57"/>
      <c r="C6" s="57"/>
      <c r="D6" s="57"/>
      <c r="E6" s="36"/>
      <c r="F6" s="36"/>
      <c r="G6" s="36"/>
      <c r="H6" s="36"/>
      <c r="I6" s="36"/>
      <c r="J6" s="36"/>
      <c r="K6" s="36"/>
      <c r="L6" s="36"/>
      <c r="M6" s="36"/>
      <c r="N6" s="36"/>
      <c r="O6" s="36"/>
      <c r="P6" s="36"/>
      <c r="Q6" s="36"/>
      <c r="R6" s="36"/>
      <c r="S6" s="36"/>
      <c r="T6" s="36"/>
      <c r="U6" s="36"/>
      <c r="V6" s="36"/>
      <c r="W6" s="36"/>
      <c r="X6" s="36"/>
      <c r="Y6" s="36"/>
      <c r="Z6" s="36"/>
    </row>
    <row r="7" spans="1:26" ht="15" customHeight="1">
      <c r="A7" s="13" t="s">
        <v>60</v>
      </c>
      <c r="B7" s="14" t="s">
        <v>61</v>
      </c>
      <c r="C7" s="14" t="s">
        <v>62</v>
      </c>
      <c r="D7" s="15" t="s">
        <v>63</v>
      </c>
      <c r="E7" s="36"/>
      <c r="F7" s="36"/>
      <c r="G7" s="36"/>
      <c r="H7" s="36"/>
      <c r="I7" s="36"/>
      <c r="J7" s="36"/>
      <c r="K7" s="36"/>
      <c r="L7" s="36"/>
      <c r="M7" s="36"/>
      <c r="N7" s="36"/>
      <c r="O7" s="36"/>
      <c r="P7" s="36"/>
      <c r="Q7" s="36"/>
      <c r="R7" s="36"/>
      <c r="S7" s="36"/>
      <c r="T7" s="36"/>
      <c r="U7" s="36"/>
      <c r="V7" s="36"/>
      <c r="W7" s="36"/>
      <c r="X7" s="36"/>
      <c r="Y7" s="36"/>
      <c r="Z7" s="36"/>
    </row>
    <row r="8" spans="1:26" ht="14.25" customHeight="1">
      <c r="A8" s="25">
        <v>1</v>
      </c>
      <c r="B8" s="24" t="s">
        <v>64</v>
      </c>
      <c r="C8" s="16" t="s">
        <v>65</v>
      </c>
      <c r="D8" s="26"/>
      <c r="E8" s="36"/>
      <c r="F8" s="36"/>
      <c r="G8" s="36"/>
      <c r="H8" s="36"/>
      <c r="I8" s="36"/>
      <c r="J8" s="36"/>
      <c r="K8" s="36"/>
      <c r="L8" s="36"/>
      <c r="M8" s="36"/>
      <c r="N8" s="36"/>
      <c r="O8" s="36"/>
      <c r="P8" s="36"/>
      <c r="Q8" s="36"/>
      <c r="R8" s="36"/>
      <c r="S8" s="36"/>
      <c r="T8" s="36"/>
      <c r="U8" s="36"/>
      <c r="V8" s="36"/>
      <c r="W8" s="36"/>
      <c r="X8" s="36"/>
      <c r="Y8" s="36"/>
      <c r="Z8" s="36"/>
    </row>
    <row r="9" spans="1:26" ht="14.25" customHeight="1">
      <c r="A9" s="25">
        <v>2</v>
      </c>
      <c r="B9" s="24" t="s">
        <v>66</v>
      </c>
      <c r="C9" s="36"/>
      <c r="D9" s="16" t="s">
        <v>65</v>
      </c>
      <c r="E9" s="36"/>
      <c r="F9" s="36"/>
      <c r="G9" s="36"/>
      <c r="H9" s="36"/>
      <c r="I9" s="36"/>
      <c r="J9" s="36"/>
      <c r="K9" s="36"/>
      <c r="L9" s="36"/>
      <c r="M9" s="36"/>
      <c r="N9" s="36"/>
      <c r="O9" s="36"/>
      <c r="P9" s="36"/>
      <c r="Q9" s="36"/>
      <c r="R9" s="36"/>
      <c r="S9" s="36"/>
      <c r="T9" s="36"/>
      <c r="U9" s="36"/>
      <c r="V9" s="36"/>
      <c r="W9" s="36"/>
      <c r="X9" s="36"/>
      <c r="Y9" s="36"/>
      <c r="Z9" s="36"/>
    </row>
    <row r="10" spans="1:26" ht="14.25" customHeight="1">
      <c r="A10" s="25">
        <v>3</v>
      </c>
      <c r="B10" s="24" t="s">
        <v>67</v>
      </c>
      <c r="C10" s="36"/>
      <c r="D10" s="16" t="s">
        <v>65</v>
      </c>
      <c r="E10" s="36"/>
      <c r="F10" s="36"/>
      <c r="G10" s="36"/>
      <c r="H10" s="36"/>
      <c r="I10" s="36"/>
      <c r="J10" s="36"/>
      <c r="K10" s="36"/>
      <c r="L10" s="36"/>
      <c r="M10" s="36"/>
      <c r="N10" s="36"/>
      <c r="O10" s="36"/>
      <c r="P10" s="36"/>
      <c r="Q10" s="36"/>
      <c r="R10" s="36"/>
      <c r="S10" s="36"/>
      <c r="T10" s="36"/>
      <c r="U10" s="36"/>
      <c r="V10" s="36"/>
      <c r="W10" s="36"/>
      <c r="X10" s="36"/>
      <c r="Y10" s="36"/>
      <c r="Z10" s="36"/>
    </row>
    <row r="11" spans="1:26" ht="14.25" customHeight="1">
      <c r="A11" s="25">
        <v>4</v>
      </c>
      <c r="B11" s="24" t="s">
        <v>68</v>
      </c>
      <c r="C11" s="16" t="s">
        <v>65</v>
      </c>
      <c r="D11" s="26"/>
      <c r="E11" s="36"/>
      <c r="F11" s="36"/>
      <c r="G11" s="36"/>
      <c r="H11" s="36"/>
      <c r="I11" s="36"/>
      <c r="J11" s="36"/>
      <c r="K11" s="36"/>
      <c r="L11" s="36"/>
      <c r="M11" s="36"/>
      <c r="N11" s="36"/>
      <c r="O11" s="36"/>
      <c r="P11" s="36"/>
      <c r="Q11" s="36"/>
      <c r="R11" s="36"/>
      <c r="S11" s="36"/>
      <c r="T11" s="36"/>
      <c r="U11" s="36"/>
      <c r="V11" s="36"/>
      <c r="W11" s="36"/>
      <c r="X11" s="36"/>
      <c r="Y11" s="36"/>
      <c r="Z11" s="36"/>
    </row>
    <row r="12" spans="1:26" ht="14.25" customHeight="1">
      <c r="A12" s="25">
        <v>5</v>
      </c>
      <c r="B12" s="24" t="s">
        <v>69</v>
      </c>
      <c r="C12" s="16" t="s">
        <v>65</v>
      </c>
      <c r="D12" s="26"/>
      <c r="E12" s="36"/>
      <c r="F12" s="36"/>
      <c r="G12" s="36"/>
      <c r="H12" s="36"/>
      <c r="I12" s="36"/>
      <c r="J12" s="36"/>
      <c r="K12" s="36"/>
      <c r="L12" s="36"/>
      <c r="M12" s="36"/>
      <c r="N12" s="36"/>
      <c r="O12" s="36"/>
      <c r="P12" s="36"/>
      <c r="Q12" s="36"/>
      <c r="R12" s="36"/>
      <c r="S12" s="36"/>
      <c r="T12" s="36"/>
      <c r="U12" s="36"/>
      <c r="V12" s="36"/>
      <c r="W12" s="36"/>
      <c r="X12" s="36"/>
      <c r="Y12" s="36"/>
      <c r="Z12" s="36"/>
    </row>
    <row r="13" spans="1:26" ht="14.25" customHeight="1">
      <c r="A13" s="25">
        <v>6</v>
      </c>
      <c r="B13" s="24" t="s">
        <v>70</v>
      </c>
      <c r="C13" s="16" t="s">
        <v>65</v>
      </c>
      <c r="D13" s="26"/>
      <c r="E13" s="36"/>
      <c r="F13" s="36"/>
      <c r="G13" s="36"/>
      <c r="H13" s="36"/>
      <c r="I13" s="36"/>
      <c r="J13" s="36"/>
      <c r="K13" s="36"/>
      <c r="L13" s="36"/>
      <c r="M13" s="36"/>
      <c r="N13" s="36"/>
      <c r="O13" s="36"/>
      <c r="P13" s="36"/>
      <c r="Q13" s="36"/>
      <c r="R13" s="36"/>
      <c r="S13" s="36"/>
      <c r="T13" s="36"/>
      <c r="U13" s="36"/>
      <c r="V13" s="36"/>
      <c r="W13" s="36"/>
      <c r="X13" s="36"/>
      <c r="Y13" s="36"/>
      <c r="Z13" s="36"/>
    </row>
    <row r="14" spans="1:26" ht="14.25" customHeight="1">
      <c r="A14" s="25">
        <v>7</v>
      </c>
      <c r="B14" s="24" t="s">
        <v>71</v>
      </c>
      <c r="C14" s="16" t="s">
        <v>65</v>
      </c>
      <c r="D14" s="26"/>
      <c r="E14" s="36"/>
      <c r="F14" s="36"/>
      <c r="G14" s="36"/>
      <c r="H14" s="36"/>
      <c r="I14" s="36"/>
      <c r="J14" s="36"/>
      <c r="K14" s="36"/>
      <c r="L14" s="36"/>
      <c r="M14" s="36"/>
      <c r="N14" s="36"/>
      <c r="O14" s="36"/>
      <c r="P14" s="36"/>
      <c r="Q14" s="36"/>
      <c r="R14" s="36"/>
      <c r="S14" s="36"/>
      <c r="T14" s="36"/>
      <c r="U14" s="36"/>
      <c r="V14" s="36"/>
      <c r="W14" s="36"/>
      <c r="X14" s="36"/>
      <c r="Y14" s="36"/>
      <c r="Z14" s="36"/>
    </row>
    <row r="15" spans="1:26" ht="14.25" customHeight="1">
      <c r="A15" s="25">
        <v>8</v>
      </c>
      <c r="B15" s="24" t="s">
        <v>72</v>
      </c>
      <c r="C15" s="16" t="s">
        <v>65</v>
      </c>
      <c r="D15" s="26"/>
      <c r="E15" s="36"/>
      <c r="F15" s="36"/>
      <c r="G15" s="36"/>
      <c r="H15" s="36"/>
      <c r="I15" s="36"/>
      <c r="J15" s="36"/>
      <c r="K15" s="36"/>
      <c r="L15" s="36"/>
      <c r="M15" s="36"/>
      <c r="N15" s="36"/>
      <c r="O15" s="36"/>
      <c r="P15" s="36"/>
      <c r="Q15" s="36"/>
      <c r="R15" s="36"/>
      <c r="S15" s="36"/>
      <c r="T15" s="36"/>
      <c r="U15" s="36"/>
      <c r="V15" s="36"/>
      <c r="W15" s="36"/>
      <c r="X15" s="36"/>
      <c r="Y15" s="36"/>
      <c r="Z15" s="36"/>
    </row>
    <row r="16" spans="1:26" ht="14.25" customHeight="1">
      <c r="A16" s="17">
        <v>9</v>
      </c>
      <c r="B16" s="18" t="s">
        <v>73</v>
      </c>
      <c r="C16" s="19"/>
      <c r="D16" s="19" t="s">
        <v>65</v>
      </c>
      <c r="E16" s="36"/>
      <c r="F16" s="36"/>
      <c r="G16" s="36"/>
      <c r="H16" s="36"/>
      <c r="I16" s="36"/>
      <c r="J16" s="36"/>
      <c r="K16" s="36"/>
      <c r="L16" s="36"/>
      <c r="M16" s="36"/>
      <c r="N16" s="36"/>
      <c r="O16" s="36"/>
      <c r="P16" s="36"/>
      <c r="Q16" s="36"/>
      <c r="R16" s="36"/>
      <c r="S16" s="36"/>
      <c r="T16" s="36"/>
      <c r="U16" s="36"/>
      <c r="V16" s="36"/>
      <c r="W16" s="36"/>
      <c r="X16" s="36"/>
      <c r="Y16" s="36"/>
      <c r="Z16" s="36"/>
    </row>
    <row r="17" spans="1:4" ht="14.25" customHeight="1">
      <c r="A17" s="61" t="s">
        <v>74</v>
      </c>
      <c r="B17" s="57"/>
      <c r="C17" s="20">
        <f>COUNTA('MODELO LISTA DE COMPROBACIO (2)'!$C$8:$C$16)</f>
        <v>6</v>
      </c>
      <c r="D17" s="20">
        <f>COUNTA('MODELO LISTA DE COMPROBACIO (2)'!$D$8:$D$16)</f>
        <v>3</v>
      </c>
    </row>
    <row r="18" spans="1:4" ht="14.25" customHeight="1">
      <c r="A18" s="61" t="s">
        <v>75</v>
      </c>
      <c r="B18" s="57"/>
      <c r="C18" s="21">
        <f t="shared" ref="C18:D18" si="0">C17/9</f>
        <v>0.66666666666666663</v>
      </c>
      <c r="D18" s="21">
        <f t="shared" si="0"/>
        <v>0.33333333333333331</v>
      </c>
    </row>
    <row r="19" spans="1:4" ht="14.25" customHeight="1">
      <c r="A19" s="44"/>
      <c r="B19" s="44"/>
      <c r="C19" s="21"/>
      <c r="D19" s="20"/>
    </row>
    <row r="20" spans="1:4" ht="14.25" customHeight="1">
      <c r="A20" s="67" t="s">
        <v>76</v>
      </c>
      <c r="B20" s="68"/>
      <c r="C20" s="68"/>
      <c r="D20" s="68"/>
    </row>
    <row r="21" spans="1:4" ht="21">
      <c r="A21" s="27" t="s">
        <v>60</v>
      </c>
      <c r="B21" s="28" t="s">
        <v>61</v>
      </c>
      <c r="C21" s="29" t="s">
        <v>62</v>
      </c>
      <c r="D21" s="30" t="s">
        <v>63</v>
      </c>
    </row>
    <row r="22" spans="1:4" ht="30.75">
      <c r="A22" s="25">
        <v>1</v>
      </c>
      <c r="B22" s="24" t="s">
        <v>77</v>
      </c>
      <c r="C22" s="19" t="s">
        <v>65</v>
      </c>
      <c r="D22" s="36"/>
    </row>
    <row r="23" spans="1:4" ht="30.75">
      <c r="A23" s="25">
        <v>2</v>
      </c>
      <c r="B23" s="24" t="s">
        <v>78</v>
      </c>
      <c r="C23" s="19" t="s">
        <v>65</v>
      </c>
      <c r="D23" s="36"/>
    </row>
    <row r="24" spans="1:4" ht="30.75">
      <c r="A24" s="25">
        <v>3</v>
      </c>
      <c r="B24" s="24" t="s">
        <v>79</v>
      </c>
      <c r="C24" s="19" t="s">
        <v>65</v>
      </c>
      <c r="D24" s="26"/>
    </row>
    <row r="25" spans="1:4" ht="30.75">
      <c r="A25" s="25">
        <v>4</v>
      </c>
      <c r="B25" s="24" t="s">
        <v>80</v>
      </c>
      <c r="C25" s="36"/>
      <c r="D25" s="19" t="s">
        <v>65</v>
      </c>
    </row>
    <row r="26" spans="1:4" ht="30.75">
      <c r="A26" s="17">
        <v>5</v>
      </c>
      <c r="B26" s="18" t="s">
        <v>81</v>
      </c>
      <c r="C26" s="19" t="s">
        <v>65</v>
      </c>
      <c r="D26" s="36"/>
    </row>
    <row r="27" spans="1:4" ht="14.25" customHeight="1">
      <c r="A27" s="61" t="s">
        <v>74</v>
      </c>
      <c r="B27" s="57"/>
      <c r="C27" s="20">
        <f>COUNTA('MODELO LISTA DE COMPROBACIO (2)'!$C$22:$C$26)</f>
        <v>4</v>
      </c>
      <c r="D27" s="20">
        <f>COUNTA('MODELO LISTA DE COMPROBACIO (2)'!$D$22:$D$26)</f>
        <v>1</v>
      </c>
    </row>
    <row r="28" spans="1:4" ht="14.25" customHeight="1">
      <c r="A28" s="61" t="s">
        <v>75</v>
      </c>
      <c r="B28" s="57"/>
      <c r="C28" s="21">
        <f t="shared" ref="C28:D28" si="1">C27/5</f>
        <v>0.8</v>
      </c>
      <c r="D28" s="21">
        <f t="shared" si="1"/>
        <v>0.2</v>
      </c>
    </row>
    <row r="29" spans="1:4" ht="14.25" customHeight="1">
      <c r="A29" s="44"/>
      <c r="B29" s="44"/>
      <c r="C29" s="21"/>
      <c r="D29" s="20"/>
    </row>
    <row r="30" spans="1:4" ht="14.25" customHeight="1">
      <c r="A30" s="65" t="s">
        <v>82</v>
      </c>
      <c r="B30" s="57"/>
      <c r="C30" s="57"/>
      <c r="D30" s="57"/>
    </row>
    <row r="31" spans="1:4" ht="21">
      <c r="A31" s="27" t="s">
        <v>60</v>
      </c>
      <c r="B31" s="28" t="s">
        <v>61</v>
      </c>
      <c r="C31" s="29" t="s">
        <v>62</v>
      </c>
      <c r="D31" s="30" t="s">
        <v>63</v>
      </c>
    </row>
    <row r="32" spans="1:4" ht="30.75">
      <c r="A32" s="25">
        <v>1</v>
      </c>
      <c r="B32" s="24" t="s">
        <v>83</v>
      </c>
      <c r="C32" s="19" t="s">
        <v>65</v>
      </c>
      <c r="D32" s="19"/>
    </row>
    <row r="33" spans="1:4" ht="45.75">
      <c r="A33" s="25">
        <v>2</v>
      </c>
      <c r="B33" s="24" t="s">
        <v>84</v>
      </c>
      <c r="C33" s="19" t="s">
        <v>65</v>
      </c>
      <c r="D33" s="19"/>
    </row>
    <row r="34" spans="1:4" ht="45.75">
      <c r="A34" s="17">
        <v>3</v>
      </c>
      <c r="B34" s="18" t="s">
        <v>85</v>
      </c>
      <c r="C34" s="19" t="s">
        <v>65</v>
      </c>
      <c r="D34" s="19"/>
    </row>
    <row r="35" spans="1:4" ht="14.25" customHeight="1">
      <c r="A35" s="61" t="s">
        <v>74</v>
      </c>
      <c r="B35" s="57"/>
      <c r="C35" s="5">
        <f>COUNTA('MODELO LISTA DE COMPROBACIO (2)'!$C$32:$C$34)</f>
        <v>3</v>
      </c>
      <c r="D35" s="5">
        <f>COUNTA('MODELO LISTA DE COMPROBACIO (2)'!$D$32:$D$34)</f>
        <v>0</v>
      </c>
    </row>
    <row r="36" spans="1:4" ht="14.25" customHeight="1">
      <c r="A36" s="61" t="s">
        <v>75</v>
      </c>
      <c r="B36" s="57"/>
      <c r="C36" s="21">
        <f t="shared" ref="C36:D36" si="2">C35/3</f>
        <v>1</v>
      </c>
      <c r="D36" s="21">
        <f t="shared" si="2"/>
        <v>0</v>
      </c>
    </row>
    <row r="37" spans="1:4" ht="14.25" customHeight="1">
      <c r="A37" s="36"/>
      <c r="B37" s="36"/>
      <c r="C37" s="36"/>
      <c r="D37" s="36"/>
    </row>
    <row r="38" spans="1:4" ht="14.25" customHeight="1">
      <c r="A38" s="36"/>
      <c r="B38" s="36"/>
      <c r="C38" s="36"/>
      <c r="D38" s="36"/>
    </row>
    <row r="39" spans="1:4" ht="14.25" customHeight="1">
      <c r="A39" s="36"/>
      <c r="B39" s="36"/>
      <c r="C39" s="36"/>
      <c r="D39" s="36"/>
    </row>
    <row r="40" spans="1:4" ht="14.25" customHeight="1">
      <c r="A40" s="66" t="s">
        <v>86</v>
      </c>
      <c r="B40" s="57"/>
      <c r="C40" s="57"/>
      <c r="D40" s="36"/>
    </row>
    <row r="41" spans="1:4" ht="30" customHeight="1">
      <c r="A41" s="36"/>
      <c r="B41" s="10" t="s">
        <v>87</v>
      </c>
      <c r="C41" s="20">
        <v>67</v>
      </c>
      <c r="D41" s="36"/>
    </row>
    <row r="42" spans="1:4" ht="30" customHeight="1">
      <c r="A42" s="36"/>
      <c r="B42" s="10" t="s">
        <v>76</v>
      </c>
      <c r="C42" s="20">
        <v>80</v>
      </c>
      <c r="D42" s="36"/>
    </row>
    <row r="43" spans="1:4" ht="30" customHeight="1">
      <c r="A43" s="36"/>
      <c r="B43" s="10" t="s">
        <v>82</v>
      </c>
      <c r="C43" s="20">
        <v>100</v>
      </c>
      <c r="D43" s="36"/>
    </row>
    <row r="44" spans="1:4" ht="14.25" customHeight="1">
      <c r="A44" s="36"/>
      <c r="B44" s="36"/>
      <c r="C44" s="20"/>
      <c r="D44" s="36"/>
    </row>
    <row r="45" spans="1:4" ht="14.25" customHeight="1">
      <c r="A45" s="36"/>
      <c r="B45" s="36"/>
      <c r="C45" s="20"/>
      <c r="D45" s="36"/>
    </row>
    <row r="46" spans="1:4" ht="14.25" customHeight="1">
      <c r="A46" s="36"/>
      <c r="B46" s="36"/>
      <c r="C46" s="36"/>
      <c r="D46" s="36"/>
    </row>
    <row r="47" spans="1:4" ht="14.25" customHeight="1">
      <c r="A47" s="36"/>
      <c r="B47" s="36"/>
      <c r="C47" s="36"/>
      <c r="D47" s="36"/>
    </row>
    <row r="48" spans="1:4" ht="14.25" customHeight="1">
      <c r="A48" s="36"/>
      <c r="B48" s="36"/>
      <c r="C48" s="36"/>
      <c r="D48" s="36"/>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27" priority="1" operator="containsText" text="X">
      <formula>NOT(ISERROR(SEARCH(("X"),(A32))))</formula>
    </cfRule>
  </conditionalFormatting>
  <conditionalFormatting sqref="C8:D8 D9:D10 C11:D16 C32:D34 C22:C24 C26 D25">
    <cfRule type="containsText" dxfId="26" priority="4" operator="containsText" text="X">
      <formula>NOT(ISERROR(SEARCH(("X"),(C8))))</formula>
    </cfRule>
    <cfRule type="containsText" dxfId="25" priority="5" operator="containsText" text="X">
      <formula>NOT(ISERROR(SEARCH(("X"),(C8))))</formula>
    </cfRule>
  </conditionalFormatting>
  <conditionalFormatting sqref="C8:D8 D9:D10 C11:D16 C26 C32:D34 C22:C23 C24:D24 D25">
    <cfRule type="containsText" dxfId="24" priority="3" operator="containsText" text="X">
      <formula>NOT(ISERROR(SEARCH(("X"),(C8))))</formula>
    </cfRule>
  </conditionalFormatting>
  <conditionalFormatting sqref="C32:D34 C8:D8 D9:D10 C11:D16 C26 C22:C23 C24:D24 D25">
    <cfRule type="containsText" dxfId="23" priority="2" operator="containsText" text="X">
      <formula>NOT(ISERROR(SEARCH(("X"),(C8))))</formula>
    </cfRule>
  </conditionalFormatting>
  <conditionalFormatting sqref="C32:D34">
    <cfRule type="containsText" dxfId="22"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5"/>
  <sheetViews>
    <sheetView zoomScale="69" workbookViewId="0">
      <selection activeCell="D25" sqref="D25"/>
    </sheetView>
  </sheetViews>
  <sheetFormatPr defaultColWidth="14.42578125" defaultRowHeight="14.45"/>
  <cols>
    <col min="1" max="1" width="10.7109375" customWidth="1"/>
    <col min="2" max="2" width="56.85546875" customWidth="1"/>
    <col min="3" max="3" width="16.140625" customWidth="1"/>
    <col min="4" max="26" width="10.7109375" customWidth="1"/>
  </cols>
  <sheetData>
    <row r="1" spans="1:26" ht="18">
      <c r="A1" s="10"/>
      <c r="B1" s="11" t="s">
        <v>1</v>
      </c>
      <c r="C1" s="62" t="s">
        <v>88</v>
      </c>
      <c r="D1" s="57"/>
      <c r="E1" s="10"/>
      <c r="F1" s="10"/>
      <c r="G1" s="10"/>
      <c r="H1" s="10"/>
      <c r="I1" s="10"/>
      <c r="J1" s="10"/>
      <c r="K1" s="10"/>
      <c r="L1" s="10"/>
      <c r="M1" s="10"/>
      <c r="N1" s="10"/>
      <c r="O1" s="10"/>
      <c r="P1" s="10"/>
      <c r="Q1" s="10"/>
      <c r="R1" s="10"/>
      <c r="S1" s="10"/>
      <c r="T1" s="10"/>
      <c r="U1" s="10"/>
      <c r="V1" s="10"/>
      <c r="W1" s="10"/>
      <c r="X1" s="10"/>
      <c r="Y1" s="10"/>
      <c r="Z1" s="10"/>
    </row>
    <row r="2" spans="1:26" ht="18">
      <c r="A2" s="36"/>
      <c r="B2" s="12" t="s">
        <v>55</v>
      </c>
      <c r="C2" s="63">
        <v>46126</v>
      </c>
      <c r="D2" s="57"/>
      <c r="E2" s="36"/>
      <c r="F2" s="36"/>
      <c r="G2" s="36"/>
      <c r="H2" s="36"/>
      <c r="I2" s="36"/>
      <c r="J2" s="36"/>
      <c r="K2" s="36"/>
      <c r="L2" s="36"/>
      <c r="M2" s="36"/>
      <c r="N2" s="36"/>
      <c r="O2" s="36"/>
      <c r="P2" s="36"/>
      <c r="Q2" s="36"/>
      <c r="R2" s="36"/>
      <c r="S2" s="36"/>
      <c r="T2" s="36"/>
      <c r="U2" s="36"/>
      <c r="V2" s="36"/>
      <c r="W2" s="36"/>
      <c r="X2" s="36"/>
      <c r="Y2" s="36"/>
      <c r="Z2" s="36"/>
    </row>
    <row r="3" spans="1:26" ht="18">
      <c r="A3" s="36"/>
      <c r="B3" s="12" t="s">
        <v>56</v>
      </c>
      <c r="C3" s="64" t="s">
        <v>89</v>
      </c>
      <c r="D3" s="57"/>
      <c r="E3" s="36"/>
      <c r="F3" s="36"/>
      <c r="G3" s="36"/>
      <c r="H3" s="36"/>
      <c r="I3" s="36"/>
      <c r="J3" s="36"/>
      <c r="K3" s="36"/>
      <c r="L3" s="36"/>
      <c r="M3" s="36"/>
      <c r="N3" s="36"/>
      <c r="O3" s="36"/>
      <c r="P3" s="36"/>
      <c r="Q3" s="36"/>
      <c r="R3" s="36"/>
      <c r="S3" s="36"/>
      <c r="T3" s="36"/>
      <c r="U3" s="36"/>
      <c r="V3" s="36"/>
      <c r="W3" s="36"/>
      <c r="X3" s="36"/>
      <c r="Y3" s="36"/>
      <c r="Z3" s="36"/>
    </row>
    <row r="4" spans="1:26" ht="18">
      <c r="A4" s="36"/>
      <c r="B4" s="12" t="s">
        <v>58</v>
      </c>
      <c r="C4" s="64" t="s">
        <v>8</v>
      </c>
      <c r="D4" s="57"/>
      <c r="E4" s="36"/>
      <c r="F4" s="36"/>
      <c r="G4" s="36"/>
      <c r="H4" s="36"/>
      <c r="I4" s="36"/>
      <c r="J4" s="36"/>
      <c r="K4" s="36"/>
      <c r="L4" s="36"/>
      <c r="M4" s="36"/>
      <c r="N4" s="36"/>
      <c r="O4" s="36"/>
      <c r="P4" s="36"/>
      <c r="Q4" s="36"/>
      <c r="R4" s="36"/>
      <c r="S4" s="36"/>
      <c r="T4" s="36"/>
      <c r="U4" s="36"/>
      <c r="V4" s="36"/>
      <c r="W4" s="36"/>
      <c r="X4" s="36"/>
      <c r="Y4" s="36"/>
      <c r="Z4" s="36"/>
    </row>
    <row r="6" spans="1:26" ht="23.45">
      <c r="A6" s="65" t="s">
        <v>59</v>
      </c>
      <c r="B6" s="57"/>
      <c r="C6" s="57"/>
      <c r="D6" s="57"/>
      <c r="E6" s="36"/>
      <c r="F6" s="36"/>
      <c r="G6" s="36"/>
      <c r="H6" s="36"/>
      <c r="I6" s="36"/>
      <c r="J6" s="36"/>
      <c r="K6" s="36"/>
      <c r="L6" s="36"/>
      <c r="M6" s="36"/>
      <c r="N6" s="36"/>
      <c r="O6" s="36"/>
      <c r="P6" s="36"/>
      <c r="Q6" s="36"/>
      <c r="R6" s="36"/>
      <c r="S6" s="36"/>
      <c r="T6" s="36"/>
      <c r="U6" s="36"/>
      <c r="V6" s="36"/>
      <c r="W6" s="36"/>
      <c r="X6" s="36"/>
      <c r="Y6" s="36"/>
      <c r="Z6" s="36"/>
    </row>
    <row r="7" spans="1:26" ht="18">
      <c r="A7" s="13" t="s">
        <v>60</v>
      </c>
      <c r="B7" s="14" t="s">
        <v>61</v>
      </c>
      <c r="C7" s="14" t="s">
        <v>62</v>
      </c>
      <c r="D7" s="15" t="s">
        <v>63</v>
      </c>
      <c r="E7" s="36"/>
      <c r="F7" s="36"/>
      <c r="G7" s="36"/>
      <c r="H7" s="36"/>
      <c r="I7" s="36"/>
      <c r="J7" s="36"/>
      <c r="K7" s="36"/>
      <c r="L7" s="36"/>
      <c r="M7" s="36"/>
      <c r="N7" s="36"/>
      <c r="O7" s="36"/>
      <c r="P7" s="36"/>
      <c r="Q7" s="36"/>
      <c r="R7" s="36"/>
      <c r="S7" s="36"/>
      <c r="T7" s="36"/>
      <c r="U7" s="36"/>
      <c r="V7" s="36"/>
      <c r="W7" s="36"/>
      <c r="X7" s="36"/>
      <c r="Y7" s="36"/>
      <c r="Z7" s="36"/>
    </row>
    <row r="8" spans="1:26" ht="28.9">
      <c r="A8" s="25">
        <v>1</v>
      </c>
      <c r="B8" s="24" t="s">
        <v>64</v>
      </c>
      <c r="C8" s="16" t="s">
        <v>65</v>
      </c>
      <c r="D8" s="26"/>
      <c r="E8" s="36"/>
      <c r="F8" s="36"/>
      <c r="G8" s="36"/>
      <c r="H8" s="36"/>
      <c r="I8" s="36"/>
      <c r="J8" s="36"/>
      <c r="K8" s="36"/>
      <c r="L8" s="36"/>
      <c r="M8" s="36"/>
      <c r="N8" s="36"/>
      <c r="O8" s="36"/>
      <c r="P8" s="36"/>
      <c r="Q8" s="36"/>
      <c r="R8" s="36"/>
      <c r="S8" s="36"/>
      <c r="T8" s="36"/>
      <c r="U8" s="36"/>
      <c r="V8" s="36"/>
      <c r="W8" s="36"/>
      <c r="X8" s="36"/>
      <c r="Y8" s="36"/>
      <c r="Z8" s="36"/>
    </row>
    <row r="9" spans="1:26">
      <c r="A9" s="25">
        <v>2</v>
      </c>
      <c r="B9" s="24" t="s">
        <v>66</v>
      </c>
      <c r="C9" s="36"/>
      <c r="D9" s="26" t="s">
        <v>90</v>
      </c>
      <c r="E9" s="36"/>
      <c r="F9" s="36"/>
      <c r="G9" s="36"/>
      <c r="H9" s="36"/>
      <c r="I9" s="36"/>
      <c r="J9" s="36"/>
      <c r="K9" s="36"/>
      <c r="L9" s="36"/>
      <c r="M9" s="36"/>
      <c r="N9" s="36"/>
      <c r="O9" s="36"/>
      <c r="P9" s="36"/>
      <c r="Q9" s="36"/>
      <c r="R9" s="36"/>
      <c r="S9" s="36"/>
      <c r="T9" s="36"/>
      <c r="U9" s="36"/>
      <c r="V9" s="36"/>
      <c r="W9" s="36"/>
      <c r="X9" s="36"/>
      <c r="Y9" s="36"/>
      <c r="Z9" s="36"/>
    </row>
    <row r="10" spans="1:26" ht="43.15">
      <c r="A10" s="25">
        <v>3</v>
      </c>
      <c r="B10" s="24" t="s">
        <v>67</v>
      </c>
      <c r="C10" s="26"/>
      <c r="D10" s="26" t="s">
        <v>90</v>
      </c>
      <c r="E10" s="36"/>
      <c r="F10" s="36"/>
      <c r="G10" s="36"/>
      <c r="H10" s="36"/>
      <c r="I10" s="36"/>
      <c r="J10" s="36"/>
      <c r="K10" s="36"/>
      <c r="L10" s="36"/>
      <c r="M10" s="36"/>
      <c r="N10" s="36"/>
      <c r="O10" s="36"/>
      <c r="P10" s="36"/>
      <c r="Q10" s="36"/>
      <c r="R10" s="36"/>
      <c r="S10" s="36"/>
      <c r="T10" s="36"/>
      <c r="U10" s="36"/>
      <c r="V10" s="36"/>
      <c r="W10" s="36"/>
      <c r="X10" s="36"/>
      <c r="Y10" s="36"/>
      <c r="Z10" s="36"/>
    </row>
    <row r="11" spans="1:26">
      <c r="A11" s="25">
        <v>4</v>
      </c>
      <c r="B11" s="24" t="s">
        <v>68</v>
      </c>
      <c r="C11" s="16" t="s">
        <v>65</v>
      </c>
      <c r="D11" s="26"/>
      <c r="E11" s="36"/>
      <c r="F11" s="36"/>
      <c r="G11" s="36"/>
      <c r="H11" s="36"/>
      <c r="I11" s="36"/>
      <c r="J11" s="36"/>
      <c r="K11" s="36"/>
      <c r="L11" s="36"/>
      <c r="M11" s="36"/>
      <c r="N11" s="36"/>
      <c r="O11" s="36"/>
      <c r="P11" s="36"/>
      <c r="Q11" s="36"/>
      <c r="R11" s="36"/>
      <c r="S11" s="36"/>
      <c r="T11" s="36"/>
      <c r="U11" s="36"/>
      <c r="V11" s="36"/>
      <c r="W11" s="36"/>
      <c r="X11" s="36"/>
      <c r="Y11" s="36"/>
      <c r="Z11" s="36"/>
    </row>
    <row r="12" spans="1:26">
      <c r="A12" s="25">
        <v>5</v>
      </c>
      <c r="B12" s="24" t="s">
        <v>69</v>
      </c>
      <c r="C12" s="16" t="s">
        <v>65</v>
      </c>
      <c r="D12" s="26"/>
      <c r="E12" s="36"/>
      <c r="F12" s="36"/>
      <c r="G12" s="36"/>
      <c r="H12" s="36"/>
      <c r="I12" s="36"/>
      <c r="J12" s="36"/>
      <c r="K12" s="36"/>
      <c r="L12" s="36"/>
      <c r="M12" s="36"/>
      <c r="N12" s="36"/>
      <c r="O12" s="36"/>
      <c r="P12" s="36"/>
      <c r="Q12" s="36"/>
      <c r="R12" s="36"/>
      <c r="S12" s="36"/>
      <c r="T12" s="36"/>
      <c r="U12" s="36"/>
      <c r="V12" s="36"/>
      <c r="W12" s="36"/>
      <c r="X12" s="36"/>
      <c r="Y12" s="36"/>
      <c r="Z12" s="36"/>
    </row>
    <row r="13" spans="1:26">
      <c r="A13" s="25">
        <v>6</v>
      </c>
      <c r="B13" s="24" t="s">
        <v>70</v>
      </c>
      <c r="C13" s="16" t="s">
        <v>65</v>
      </c>
      <c r="D13" s="26"/>
      <c r="E13" s="36"/>
      <c r="F13" s="36"/>
      <c r="G13" s="36"/>
      <c r="H13" s="36"/>
      <c r="I13" s="36"/>
      <c r="J13" s="36"/>
      <c r="K13" s="36"/>
      <c r="L13" s="36"/>
      <c r="M13" s="36"/>
      <c r="N13" s="36"/>
      <c r="O13" s="36"/>
      <c r="P13" s="36"/>
      <c r="Q13" s="36"/>
      <c r="R13" s="36"/>
      <c r="S13" s="36"/>
      <c r="T13" s="36"/>
      <c r="U13" s="36"/>
      <c r="V13" s="36"/>
      <c r="W13" s="36"/>
      <c r="X13" s="36"/>
      <c r="Y13" s="36"/>
      <c r="Z13" s="36"/>
    </row>
    <row r="14" spans="1:26" ht="28.9">
      <c r="A14" s="25">
        <v>7</v>
      </c>
      <c r="B14" s="24" t="s">
        <v>71</v>
      </c>
      <c r="C14" s="16" t="s">
        <v>65</v>
      </c>
      <c r="D14" s="26"/>
      <c r="E14" s="36"/>
      <c r="F14" s="36"/>
      <c r="G14" s="36"/>
      <c r="H14" s="36"/>
      <c r="I14" s="36"/>
      <c r="J14" s="36"/>
      <c r="K14" s="36"/>
      <c r="L14" s="36"/>
      <c r="M14" s="36"/>
      <c r="N14" s="36"/>
      <c r="O14" s="36"/>
      <c r="P14" s="36"/>
      <c r="Q14" s="36"/>
      <c r="R14" s="36"/>
      <c r="S14" s="36"/>
      <c r="T14" s="36"/>
      <c r="U14" s="36"/>
      <c r="V14" s="36"/>
      <c r="W14" s="36"/>
      <c r="X14" s="36"/>
      <c r="Y14" s="36"/>
      <c r="Z14" s="36"/>
    </row>
    <row r="15" spans="1:26" ht="28.9">
      <c r="A15" s="25">
        <v>8</v>
      </c>
      <c r="B15" s="24" t="s">
        <v>72</v>
      </c>
      <c r="C15" s="16" t="s">
        <v>65</v>
      </c>
      <c r="D15" s="26"/>
      <c r="E15" s="36"/>
      <c r="F15" s="36"/>
      <c r="G15" s="36"/>
      <c r="H15" s="36"/>
      <c r="I15" s="36"/>
      <c r="J15" s="36"/>
      <c r="K15" s="36"/>
      <c r="L15" s="36"/>
      <c r="M15" s="36"/>
      <c r="N15" s="36"/>
      <c r="O15" s="36"/>
      <c r="P15" s="36"/>
      <c r="Q15" s="36"/>
      <c r="R15" s="36"/>
      <c r="S15" s="36"/>
      <c r="T15" s="36"/>
      <c r="U15" s="36"/>
      <c r="V15" s="36"/>
      <c r="W15" s="36"/>
      <c r="X15" s="36"/>
      <c r="Y15" s="36"/>
      <c r="Z15" s="36"/>
    </row>
    <row r="16" spans="1:26" ht="43.15">
      <c r="A16" s="17">
        <v>9</v>
      </c>
      <c r="B16" s="18" t="s">
        <v>73</v>
      </c>
      <c r="C16" s="19"/>
      <c r="D16" s="19" t="s">
        <v>65</v>
      </c>
      <c r="E16" s="36"/>
      <c r="F16" s="36"/>
      <c r="G16" s="36"/>
      <c r="H16" s="36"/>
      <c r="I16" s="36"/>
      <c r="J16" s="36"/>
      <c r="K16" s="36"/>
      <c r="L16" s="36"/>
      <c r="M16" s="36"/>
      <c r="N16" s="36"/>
      <c r="O16" s="36"/>
      <c r="P16" s="36"/>
      <c r="Q16" s="36"/>
      <c r="R16" s="36"/>
      <c r="S16" s="36"/>
      <c r="T16" s="36"/>
      <c r="U16" s="36"/>
      <c r="V16" s="36"/>
      <c r="W16" s="36"/>
      <c r="X16" s="36"/>
      <c r="Y16" s="36"/>
      <c r="Z16" s="36"/>
    </row>
    <row r="17" spans="1:4" ht="18">
      <c r="A17" s="61" t="s">
        <v>74</v>
      </c>
      <c r="B17" s="57"/>
      <c r="C17" s="20">
        <f>COUNTA('MODELO LISTA DE COMPROBACION - '!$C$8:$C$16)</f>
        <v>6</v>
      </c>
      <c r="D17" s="20">
        <f>COUNTA('MODELO LISTA DE COMPROBACION - '!$D$8:$D$16)</f>
        <v>3</v>
      </c>
    </row>
    <row r="18" spans="1:4" ht="18">
      <c r="A18" s="61" t="s">
        <v>75</v>
      </c>
      <c r="B18" s="57"/>
      <c r="C18" s="21">
        <f t="shared" ref="C18:D18" si="0">C17/9</f>
        <v>0.66666666666666663</v>
      </c>
      <c r="D18" s="21">
        <f t="shared" si="0"/>
        <v>0.33333333333333331</v>
      </c>
    </row>
    <row r="19" spans="1:4" ht="18">
      <c r="A19" s="44"/>
      <c r="B19" s="44"/>
      <c r="C19" s="21"/>
      <c r="D19" s="20"/>
    </row>
    <row r="20" spans="1:4" ht="23.45">
      <c r="A20" s="67" t="s">
        <v>76</v>
      </c>
      <c r="B20" s="68"/>
      <c r="C20" s="68"/>
      <c r="D20" s="68"/>
    </row>
    <row r="21" spans="1:4" ht="21">
      <c r="A21" s="27" t="s">
        <v>60</v>
      </c>
      <c r="B21" s="28" t="s">
        <v>61</v>
      </c>
      <c r="C21" s="29" t="s">
        <v>62</v>
      </c>
      <c r="D21" s="30" t="s">
        <v>63</v>
      </c>
    </row>
    <row r="22" spans="1:4" ht="28.9">
      <c r="A22" s="25">
        <v>1</v>
      </c>
      <c r="B22" s="24" t="s">
        <v>91</v>
      </c>
      <c r="C22" s="19" t="s">
        <v>65</v>
      </c>
      <c r="D22" s="26"/>
    </row>
    <row r="23" spans="1:4" ht="28.9">
      <c r="A23" s="25">
        <v>2</v>
      </c>
      <c r="B23" s="24" t="s">
        <v>78</v>
      </c>
      <c r="C23" s="19" t="s">
        <v>65</v>
      </c>
      <c r="D23" s="26"/>
    </row>
    <row r="24" spans="1:4" ht="28.9">
      <c r="A24" s="25">
        <v>3</v>
      </c>
      <c r="B24" s="24" t="s">
        <v>79</v>
      </c>
      <c r="C24" s="19" t="s">
        <v>65</v>
      </c>
      <c r="D24" s="26"/>
    </row>
    <row r="25" spans="1:4" ht="28.9">
      <c r="A25" s="25">
        <v>4</v>
      </c>
      <c r="B25" s="24" t="s">
        <v>80</v>
      </c>
      <c r="C25" s="19" t="s">
        <v>65</v>
      </c>
      <c r="D25" s="26"/>
    </row>
    <row r="26" spans="1:4" ht="28.9">
      <c r="A26" s="17">
        <v>5</v>
      </c>
      <c r="B26" s="18" t="s">
        <v>81</v>
      </c>
      <c r="C26" s="19" t="s">
        <v>65</v>
      </c>
      <c r="D26" s="22"/>
    </row>
    <row r="27" spans="1:4" ht="18">
      <c r="A27" s="61" t="s">
        <v>74</v>
      </c>
      <c r="B27" s="57"/>
      <c r="C27" s="20">
        <f>COUNTA('MODELO LISTA DE COMPROBACION - '!$C$22:$C$26)</f>
        <v>5</v>
      </c>
      <c r="D27" s="20">
        <f>COUNTA('MODELO LISTA DE COMPROBACION - '!$D$22:$D$26)</f>
        <v>0</v>
      </c>
    </row>
    <row r="28" spans="1:4" ht="18">
      <c r="A28" s="61" t="s">
        <v>75</v>
      </c>
      <c r="B28" s="57"/>
      <c r="C28" s="21">
        <f t="shared" ref="C28:D28" si="1">C27/5</f>
        <v>1</v>
      </c>
      <c r="D28" s="21">
        <f t="shared" si="1"/>
        <v>0</v>
      </c>
    </row>
    <row r="29" spans="1:4" ht="18">
      <c r="A29" s="44"/>
      <c r="B29" s="44"/>
      <c r="C29" s="21"/>
      <c r="D29" s="20"/>
    </row>
    <row r="30" spans="1:4" ht="23.45">
      <c r="A30" s="65" t="s">
        <v>82</v>
      </c>
      <c r="B30" s="57"/>
      <c r="C30" s="57"/>
      <c r="D30" s="57"/>
    </row>
    <row r="31" spans="1:4" ht="21">
      <c r="A31" s="27" t="s">
        <v>60</v>
      </c>
      <c r="B31" s="28" t="s">
        <v>61</v>
      </c>
      <c r="C31" s="29" t="s">
        <v>62</v>
      </c>
      <c r="D31" s="30" t="s">
        <v>63</v>
      </c>
    </row>
    <row r="32" spans="1:4" ht="28.9">
      <c r="A32" s="25">
        <v>1</v>
      </c>
      <c r="B32" s="24" t="s">
        <v>83</v>
      </c>
      <c r="C32" s="19" t="s">
        <v>65</v>
      </c>
      <c r="D32" s="19"/>
    </row>
    <row r="33" spans="1:4" ht="43.15">
      <c r="A33" s="25">
        <v>2</v>
      </c>
      <c r="B33" s="24" t="s">
        <v>84</v>
      </c>
      <c r="C33" s="19" t="s">
        <v>65</v>
      </c>
      <c r="D33" s="19"/>
    </row>
    <row r="34" spans="1:4" ht="43.15">
      <c r="A34" s="17">
        <v>3</v>
      </c>
      <c r="B34" s="18" t="s">
        <v>85</v>
      </c>
      <c r="C34" s="19" t="s">
        <v>65</v>
      </c>
      <c r="D34" s="19"/>
    </row>
    <row r="35" spans="1:4" ht="18">
      <c r="A35" s="61" t="s">
        <v>74</v>
      </c>
      <c r="B35" s="57"/>
      <c r="C35" s="5">
        <f>COUNTA('MODELO LISTA DE COMPROBACION - '!$C$32:$C$34)</f>
        <v>3</v>
      </c>
      <c r="D35" s="5">
        <f>COUNTA('MODELO LISTA DE COMPROBACION - '!$D$32:$D$34)</f>
        <v>0</v>
      </c>
    </row>
    <row r="36" spans="1:4" ht="18">
      <c r="A36" s="61" t="s">
        <v>75</v>
      </c>
      <c r="B36" s="57"/>
      <c r="C36" s="21">
        <f t="shared" ref="C36:D36" si="2">C35/3</f>
        <v>1</v>
      </c>
      <c r="D36" s="21">
        <f t="shared" si="2"/>
        <v>0</v>
      </c>
    </row>
    <row r="40" spans="1:4" ht="18">
      <c r="A40" s="66" t="s">
        <v>86</v>
      </c>
      <c r="B40" s="57"/>
      <c r="C40" s="57"/>
      <c r="D40" s="36"/>
    </row>
    <row r="41" spans="1:4">
      <c r="A41" s="36"/>
      <c r="B41" s="10" t="s">
        <v>87</v>
      </c>
      <c r="C41" s="20">
        <v>67</v>
      </c>
      <c r="D41" s="36"/>
    </row>
    <row r="42" spans="1:4">
      <c r="A42" s="36"/>
      <c r="B42" s="10" t="s">
        <v>76</v>
      </c>
      <c r="C42" s="20">
        <v>100</v>
      </c>
      <c r="D42" s="36"/>
    </row>
    <row r="43" spans="1:4">
      <c r="A43" s="36"/>
      <c r="B43" s="10" t="s">
        <v>82</v>
      </c>
      <c r="C43" s="20">
        <v>100</v>
      </c>
      <c r="D43" s="36"/>
    </row>
    <row r="44" spans="1:4">
      <c r="A44" s="36"/>
      <c r="B44" s="36"/>
      <c r="C44" s="20"/>
      <c r="D44" s="36"/>
    </row>
    <row r="45" spans="1:4">
      <c r="A45" s="36"/>
      <c r="B45" s="36"/>
      <c r="C45" s="20"/>
      <c r="D45" s="36"/>
    </row>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21" priority="13" operator="containsText" text="X">
      <formula>NOT(ISERROR(SEARCH(("X"),(A32))))</formula>
    </cfRule>
  </conditionalFormatting>
  <conditionalFormatting sqref="C22:C26 C32:D34 C8:D8 C10:D16 D9">
    <cfRule type="containsText" dxfId="20" priority="15" operator="containsText" text="X">
      <formula>NOT(ISERROR(SEARCH(("X"),(C8))))</formula>
    </cfRule>
    <cfRule type="containsText" dxfId="19" priority="16" operator="containsText" text="X">
      <formula>NOT(ISERROR(SEARCH(("X"),(C8))))</formula>
    </cfRule>
    <cfRule type="containsText" dxfId="18" priority="17" operator="containsText" text="X">
      <formula>NOT(ISERROR(SEARCH(("X"),(C8))))</formula>
    </cfRule>
  </conditionalFormatting>
  <conditionalFormatting sqref="C22:D26">
    <cfRule type="containsText" dxfId="17" priority="18" operator="containsText" text="X">
      <formula>NOT(ISERROR(SEARCH(("X"),(C22))))</formula>
    </cfRule>
    <cfRule type="containsText" dxfId="16" priority="19" operator="containsText" text="X">
      <formula>NOT(ISERROR(SEARCH(("X"),(C22))))</formula>
    </cfRule>
  </conditionalFormatting>
  <conditionalFormatting sqref="C32:D34 C22:C26 C8:D8 C10:D16 D9">
    <cfRule type="containsText" dxfId="15" priority="14" operator="containsText" text="X">
      <formula>NOT(ISERROR(SEARCH(("X"),(C8))))</formula>
    </cfRule>
  </conditionalFormatting>
  <conditionalFormatting sqref="C32:D34">
    <cfRule type="containsText" dxfId="14" priority="20" operator="containsText" text="X">
      <formula>NOT(ISERROR(SEARCH(("X"),(C32))))</formula>
    </cfRule>
  </conditionalFormatting>
  <conditionalFormatting sqref="D22:D23">
    <cfRule type="containsText" dxfId="13" priority="5" operator="containsText" text="X">
      <formula>NOT(ISERROR(SEARCH(("X"),(D22))))</formula>
    </cfRule>
    <cfRule type="containsText" dxfId="12" priority="6" operator="containsText" text="X">
      <formula>NOT(ISERROR(SEARCH(("X"),(D22))))</formula>
    </cfRule>
    <cfRule type="containsText" dxfId="11" priority="7" operator="containsText" text="X">
      <formula>NOT(ISERROR(SEARCH(("X"),(D22))))</formula>
    </cfRule>
    <cfRule type="containsText" dxfId="10" priority="8" operator="containsText" text="X">
      <formula>NOT(ISERROR(SEARCH(("X"),(D22))))</formula>
    </cfRule>
  </conditionalFormatting>
  <conditionalFormatting sqref="C22:C23">
    <cfRule type="containsText" dxfId="9" priority="1" operator="containsText" text="X">
      <formula>NOT(ISERROR(SEARCH(("X"),(C22))))</formula>
    </cfRule>
    <cfRule type="containsText" dxfId="8" priority="2" operator="containsText" text="X">
      <formula>NOT(ISERROR(SEARCH(("X"),(C22))))</formula>
    </cfRule>
    <cfRule type="containsText" dxfId="7" priority="3" operator="containsText" text="X">
      <formula>NOT(ISERROR(SEARCH(("X"),(C22))))</formula>
    </cfRule>
    <cfRule type="containsText" dxfId="6" priority="4" operator="containsText" text="X">
      <formula>NOT(ISERROR(SEARCH(("X"),(C22))))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F566-FC88-4292-8FC9-6EB5AB39AB36}">
  <dimension ref="A1:Z45"/>
  <sheetViews>
    <sheetView topLeftCell="A8" zoomScale="124" workbookViewId="0">
      <selection activeCell="K41" sqref="K41"/>
    </sheetView>
  </sheetViews>
  <sheetFormatPr defaultColWidth="14.42578125" defaultRowHeight="14.45"/>
  <cols>
    <col min="1" max="1" width="10.7109375" customWidth="1"/>
    <col min="2" max="2" width="34.5703125" customWidth="1"/>
    <col min="3" max="3" width="16.140625" customWidth="1"/>
    <col min="4" max="26" width="10.7109375" customWidth="1"/>
  </cols>
  <sheetData>
    <row r="1" spans="1:26" ht="18">
      <c r="A1" s="10"/>
      <c r="B1" s="11" t="s">
        <v>1</v>
      </c>
      <c r="C1" s="62" t="s">
        <v>2</v>
      </c>
      <c r="D1" s="57"/>
      <c r="E1" s="10"/>
      <c r="F1" s="10"/>
      <c r="G1" s="10"/>
      <c r="H1" s="10"/>
      <c r="I1" s="10"/>
      <c r="J1" s="10"/>
      <c r="K1" s="10"/>
      <c r="L1" s="10"/>
      <c r="M1" s="10"/>
      <c r="N1" s="10"/>
      <c r="O1" s="10"/>
      <c r="P1" s="10"/>
      <c r="Q1" s="10"/>
      <c r="R1" s="10"/>
      <c r="S1" s="10"/>
      <c r="T1" s="10"/>
      <c r="U1" s="10"/>
      <c r="V1" s="10"/>
      <c r="W1" s="10"/>
      <c r="X1" s="10"/>
      <c r="Y1" s="10"/>
      <c r="Z1" s="10"/>
    </row>
    <row r="2" spans="1:26" ht="18">
      <c r="A2" s="36"/>
      <c r="B2" s="12" t="s">
        <v>55</v>
      </c>
      <c r="C2" s="63">
        <v>46126</v>
      </c>
      <c r="D2" s="57"/>
      <c r="E2" s="36"/>
      <c r="F2" s="36"/>
      <c r="G2" s="36"/>
      <c r="H2" s="36"/>
      <c r="I2" s="36"/>
      <c r="J2" s="36"/>
      <c r="K2" s="36"/>
      <c r="L2" s="36"/>
      <c r="M2" s="36"/>
      <c r="N2" s="36"/>
      <c r="O2" s="36"/>
      <c r="P2" s="36"/>
      <c r="Q2" s="36"/>
      <c r="R2" s="36"/>
      <c r="S2" s="36"/>
      <c r="T2" s="36"/>
      <c r="U2" s="36"/>
      <c r="V2" s="36"/>
      <c r="W2" s="36"/>
      <c r="X2" s="36"/>
      <c r="Y2" s="36"/>
      <c r="Z2" s="36"/>
    </row>
    <row r="3" spans="1:26" ht="18">
      <c r="A3" s="36"/>
      <c r="B3" s="12" t="s">
        <v>56</v>
      </c>
      <c r="C3" s="64" t="s">
        <v>92</v>
      </c>
      <c r="D3" s="57"/>
      <c r="E3" s="36"/>
      <c r="F3" s="36"/>
      <c r="G3" s="36"/>
      <c r="H3" s="36"/>
      <c r="I3" s="36"/>
      <c r="J3" s="36"/>
      <c r="K3" s="36"/>
      <c r="L3" s="36"/>
      <c r="M3" s="36"/>
      <c r="N3" s="36"/>
      <c r="O3" s="36"/>
      <c r="P3" s="36"/>
      <c r="Q3" s="36"/>
      <c r="R3" s="36"/>
      <c r="S3" s="36"/>
      <c r="T3" s="36"/>
      <c r="U3" s="36"/>
      <c r="V3" s="36"/>
      <c r="W3" s="36"/>
      <c r="X3" s="36"/>
      <c r="Y3" s="36"/>
      <c r="Z3" s="36"/>
    </row>
    <row r="4" spans="1:26" ht="18">
      <c r="A4" s="36"/>
      <c r="B4" s="12" t="s">
        <v>58</v>
      </c>
      <c r="C4" s="64" t="s">
        <v>93</v>
      </c>
      <c r="D4" s="57"/>
      <c r="E4" s="36"/>
      <c r="F4" s="36"/>
      <c r="G4" s="36"/>
      <c r="H4" s="36"/>
      <c r="I4" s="36"/>
      <c r="J4" s="36"/>
      <c r="K4" s="36"/>
      <c r="L4" s="36"/>
      <c r="M4" s="36"/>
      <c r="N4" s="36"/>
      <c r="O4" s="36"/>
      <c r="P4" s="36"/>
      <c r="Q4" s="36"/>
      <c r="R4" s="36"/>
      <c r="S4" s="36"/>
      <c r="T4" s="36"/>
      <c r="U4" s="36"/>
      <c r="V4" s="36"/>
      <c r="W4" s="36"/>
      <c r="X4" s="36"/>
      <c r="Y4" s="36"/>
      <c r="Z4" s="36"/>
    </row>
    <row r="6" spans="1:26" ht="23.45">
      <c r="A6" s="65" t="s">
        <v>59</v>
      </c>
      <c r="B6" s="57"/>
      <c r="C6" s="57"/>
      <c r="D6" s="57"/>
      <c r="E6" s="36"/>
      <c r="F6" s="36"/>
      <c r="G6" s="36"/>
      <c r="H6" s="36"/>
      <c r="I6" s="36"/>
      <c r="J6" s="36"/>
      <c r="K6" s="36"/>
      <c r="L6" s="36"/>
      <c r="M6" s="36"/>
      <c r="N6" s="36"/>
      <c r="O6" s="36"/>
      <c r="P6" s="36"/>
      <c r="Q6" s="36"/>
      <c r="R6" s="36"/>
      <c r="S6" s="36"/>
      <c r="T6" s="36"/>
      <c r="U6" s="36"/>
      <c r="V6" s="36"/>
      <c r="W6" s="36"/>
      <c r="X6" s="36"/>
      <c r="Y6" s="36"/>
      <c r="Z6" s="36"/>
    </row>
    <row r="7" spans="1:26" ht="18">
      <c r="A7" s="13" t="s">
        <v>60</v>
      </c>
      <c r="B7" s="14" t="s">
        <v>61</v>
      </c>
      <c r="C7" s="14" t="s">
        <v>62</v>
      </c>
      <c r="D7" s="15" t="s">
        <v>63</v>
      </c>
      <c r="E7" s="36"/>
      <c r="F7" s="36"/>
      <c r="G7" s="36"/>
      <c r="H7" s="36"/>
      <c r="I7" s="36"/>
      <c r="J7" s="36"/>
      <c r="K7" s="36"/>
      <c r="L7" s="36"/>
      <c r="M7" s="36"/>
      <c r="N7" s="36"/>
      <c r="O7" s="36"/>
      <c r="P7" s="36"/>
      <c r="Q7" s="36"/>
      <c r="R7" s="36"/>
      <c r="S7" s="36"/>
      <c r="T7" s="36"/>
      <c r="U7" s="36"/>
      <c r="V7" s="36"/>
      <c r="W7" s="36"/>
      <c r="X7" s="36"/>
      <c r="Y7" s="36"/>
      <c r="Z7" s="36"/>
    </row>
    <row r="8" spans="1:26" ht="28.9">
      <c r="A8" s="25">
        <v>1</v>
      </c>
      <c r="B8" s="24" t="s">
        <v>64</v>
      </c>
      <c r="C8" s="16" t="s">
        <v>65</v>
      </c>
      <c r="D8" s="26"/>
      <c r="E8" s="36"/>
      <c r="F8" s="36"/>
      <c r="G8" s="36"/>
      <c r="H8" s="36"/>
      <c r="I8" s="36"/>
      <c r="J8" s="36"/>
      <c r="K8" s="36"/>
      <c r="L8" s="36"/>
      <c r="M8" s="36"/>
      <c r="N8" s="36"/>
      <c r="O8" s="36"/>
      <c r="P8" s="36"/>
      <c r="Q8" s="36"/>
      <c r="R8" s="36"/>
      <c r="S8" s="36"/>
      <c r="T8" s="36"/>
      <c r="U8" s="36"/>
      <c r="V8" s="36"/>
      <c r="W8" s="36"/>
      <c r="X8" s="36"/>
      <c r="Y8" s="36"/>
      <c r="Z8" s="36"/>
    </row>
    <row r="9" spans="1:26" ht="28.9">
      <c r="A9" s="25">
        <v>2</v>
      </c>
      <c r="B9" s="24" t="s">
        <v>66</v>
      </c>
      <c r="C9" s="36"/>
      <c r="D9" s="16" t="s">
        <v>65</v>
      </c>
      <c r="E9" s="36"/>
      <c r="F9" s="36"/>
      <c r="G9" s="36"/>
      <c r="H9" s="36"/>
      <c r="I9" s="36"/>
      <c r="J9" s="36"/>
      <c r="K9" s="36"/>
      <c r="L9" s="36"/>
      <c r="M9" s="36"/>
      <c r="N9" s="36"/>
      <c r="O9" s="36"/>
      <c r="P9" s="36"/>
      <c r="Q9" s="36"/>
      <c r="R9" s="36"/>
      <c r="S9" s="36"/>
      <c r="T9" s="36"/>
      <c r="U9" s="36"/>
      <c r="V9" s="36"/>
      <c r="W9" s="36"/>
      <c r="X9" s="36"/>
      <c r="Y9" s="36"/>
      <c r="Z9" s="36"/>
    </row>
    <row r="10" spans="1:26" ht="57.6">
      <c r="A10" s="25">
        <v>3</v>
      </c>
      <c r="B10" s="24" t="s">
        <v>67</v>
      </c>
      <c r="C10" s="36"/>
      <c r="D10" s="16" t="s">
        <v>65</v>
      </c>
      <c r="E10" s="36"/>
      <c r="F10" s="36"/>
      <c r="G10" s="36"/>
      <c r="H10" s="36"/>
      <c r="I10" s="36"/>
      <c r="J10" s="36"/>
      <c r="K10" s="36"/>
      <c r="L10" s="36"/>
      <c r="M10" s="36"/>
      <c r="N10" s="36"/>
      <c r="O10" s="36"/>
      <c r="P10" s="36"/>
      <c r="Q10" s="36"/>
      <c r="R10" s="36"/>
      <c r="S10" s="36"/>
      <c r="T10" s="36"/>
      <c r="U10" s="36"/>
      <c r="V10" s="36"/>
      <c r="W10" s="36"/>
      <c r="X10" s="36"/>
      <c r="Y10" s="36"/>
      <c r="Z10" s="36"/>
    </row>
    <row r="11" spans="1:26" ht="28.9">
      <c r="A11" s="25">
        <v>4</v>
      </c>
      <c r="B11" s="24" t="s">
        <v>68</v>
      </c>
      <c r="C11" s="16" t="s">
        <v>65</v>
      </c>
      <c r="D11" s="26"/>
      <c r="E11" s="36"/>
      <c r="F11" s="36"/>
      <c r="G11" s="36"/>
      <c r="H11" s="36"/>
      <c r="I11" s="36"/>
      <c r="J11" s="36"/>
      <c r="K11" s="36"/>
      <c r="L11" s="36"/>
      <c r="M11" s="36"/>
      <c r="N11" s="36"/>
      <c r="O11" s="36"/>
      <c r="P11" s="36"/>
      <c r="Q11" s="36"/>
      <c r="R11" s="36"/>
      <c r="S11" s="36"/>
      <c r="T11" s="36"/>
      <c r="U11" s="36"/>
      <c r="V11" s="36"/>
      <c r="W11" s="36"/>
      <c r="X11" s="36"/>
      <c r="Y11" s="36"/>
      <c r="Z11" s="36"/>
    </row>
    <row r="12" spans="1:26" ht="28.9">
      <c r="A12" s="25">
        <v>5</v>
      </c>
      <c r="B12" s="24" t="s">
        <v>69</v>
      </c>
      <c r="C12" s="16" t="s">
        <v>65</v>
      </c>
      <c r="D12" s="26"/>
      <c r="E12" s="36"/>
      <c r="F12" s="36"/>
      <c r="G12" s="36"/>
      <c r="H12" s="36"/>
      <c r="I12" s="36"/>
      <c r="J12" s="36"/>
      <c r="K12" s="36"/>
      <c r="L12" s="36"/>
      <c r="M12" s="36"/>
      <c r="N12" s="36"/>
      <c r="O12" s="36"/>
      <c r="P12" s="36"/>
      <c r="Q12" s="36"/>
      <c r="R12" s="36"/>
      <c r="S12" s="36"/>
      <c r="T12" s="36"/>
      <c r="U12" s="36"/>
      <c r="V12" s="36"/>
      <c r="W12" s="36"/>
      <c r="X12" s="36"/>
      <c r="Y12" s="36"/>
      <c r="Z12" s="36"/>
    </row>
    <row r="13" spans="1:26" ht="28.9">
      <c r="A13" s="25">
        <v>6</v>
      </c>
      <c r="B13" s="24" t="s">
        <v>70</v>
      </c>
      <c r="C13" s="16" t="s">
        <v>65</v>
      </c>
      <c r="D13" s="26"/>
      <c r="E13" s="36"/>
      <c r="F13" s="36"/>
      <c r="G13" s="36"/>
      <c r="H13" s="36"/>
      <c r="I13" s="36"/>
      <c r="J13" s="36"/>
      <c r="K13" s="36"/>
      <c r="L13" s="36"/>
      <c r="M13" s="36"/>
      <c r="N13" s="36"/>
      <c r="O13" s="36"/>
      <c r="P13" s="36"/>
      <c r="Q13" s="36"/>
      <c r="R13" s="36"/>
      <c r="S13" s="36"/>
      <c r="T13" s="36"/>
      <c r="U13" s="36"/>
      <c r="V13" s="36"/>
      <c r="W13" s="36"/>
      <c r="X13" s="36"/>
      <c r="Y13" s="36"/>
      <c r="Z13" s="36"/>
    </row>
    <row r="14" spans="1:26" ht="28.9">
      <c r="A14" s="25">
        <v>7</v>
      </c>
      <c r="B14" s="24" t="s">
        <v>71</v>
      </c>
      <c r="C14" s="16" t="s">
        <v>65</v>
      </c>
      <c r="D14" s="26"/>
      <c r="E14" s="36"/>
      <c r="F14" s="36"/>
      <c r="G14" s="36"/>
      <c r="H14" s="36"/>
      <c r="I14" s="36"/>
      <c r="J14" s="36"/>
      <c r="K14" s="36"/>
      <c r="L14" s="36"/>
      <c r="M14" s="36"/>
      <c r="N14" s="36"/>
      <c r="O14" s="36"/>
      <c r="P14" s="36"/>
      <c r="Q14" s="36"/>
      <c r="R14" s="36"/>
      <c r="S14" s="36"/>
      <c r="T14" s="36"/>
      <c r="U14" s="36"/>
      <c r="V14" s="36"/>
      <c r="W14" s="36"/>
      <c r="X14" s="36"/>
      <c r="Y14" s="36"/>
      <c r="Z14" s="36"/>
    </row>
    <row r="15" spans="1:26" ht="43.15">
      <c r="A15" s="25">
        <v>8</v>
      </c>
      <c r="B15" s="24" t="s">
        <v>72</v>
      </c>
      <c r="C15" s="16" t="s">
        <v>65</v>
      </c>
      <c r="D15" s="26"/>
      <c r="E15" s="36"/>
      <c r="F15" s="36"/>
      <c r="G15" s="36"/>
      <c r="H15" s="36"/>
      <c r="I15" s="36"/>
      <c r="J15" s="36"/>
      <c r="K15" s="36"/>
      <c r="L15" s="36"/>
      <c r="M15" s="36"/>
      <c r="N15" s="36"/>
      <c r="O15" s="36"/>
      <c r="P15" s="36"/>
      <c r="Q15" s="36"/>
      <c r="R15" s="36"/>
      <c r="S15" s="36"/>
      <c r="T15" s="36"/>
      <c r="U15" s="36"/>
      <c r="V15" s="36"/>
      <c r="W15" s="36"/>
      <c r="X15" s="36"/>
      <c r="Y15" s="36"/>
      <c r="Z15" s="36"/>
    </row>
    <row r="16" spans="1:26" ht="57.6">
      <c r="A16" s="17">
        <v>9</v>
      </c>
      <c r="B16" s="18" t="s">
        <v>73</v>
      </c>
      <c r="C16" s="19"/>
      <c r="D16" s="19" t="s">
        <v>65</v>
      </c>
      <c r="E16" s="36"/>
      <c r="F16" s="36"/>
      <c r="G16" s="36"/>
      <c r="H16" s="36"/>
      <c r="I16" s="36"/>
      <c r="J16" s="36"/>
      <c r="K16" s="36"/>
      <c r="L16" s="36"/>
      <c r="M16" s="36"/>
      <c r="N16" s="36"/>
      <c r="O16" s="36"/>
      <c r="P16" s="36"/>
      <c r="Q16" s="36"/>
      <c r="R16" s="36"/>
      <c r="S16" s="36"/>
      <c r="T16" s="36"/>
      <c r="U16" s="36"/>
      <c r="V16" s="36"/>
      <c r="W16" s="36"/>
      <c r="X16" s="36"/>
      <c r="Y16" s="36"/>
      <c r="Z16" s="36"/>
    </row>
    <row r="17" spans="1:4" ht="18">
      <c r="A17" s="61" t="s">
        <v>74</v>
      </c>
      <c r="B17" s="57"/>
      <c r="C17" s="20">
        <f>COUNTA('MODELO LISTA DE COMPROBACIO (3)'!$C$8:$C$16)</f>
        <v>6</v>
      </c>
      <c r="D17" s="20">
        <f>COUNTA('MODELO LISTA DE COMPROBACIO (3)'!$D$8:$D$16)</f>
        <v>3</v>
      </c>
    </row>
    <row r="18" spans="1:4" ht="18">
      <c r="A18" s="61" t="s">
        <v>75</v>
      </c>
      <c r="B18" s="57"/>
      <c r="C18" s="21">
        <f>C17/9</f>
        <v>0.66666666666666663</v>
      </c>
      <c r="D18" s="21">
        <f>D17/9</f>
        <v>0.33333333333333331</v>
      </c>
    </row>
    <row r="19" spans="1:4" ht="18">
      <c r="A19" s="44"/>
      <c r="B19" s="44"/>
      <c r="C19" s="21"/>
      <c r="D19" s="20"/>
    </row>
    <row r="20" spans="1:4" ht="23.45">
      <c r="A20" s="67" t="s">
        <v>76</v>
      </c>
      <c r="B20" s="68"/>
      <c r="C20" s="68"/>
      <c r="D20" s="68"/>
    </row>
    <row r="21" spans="1:4" ht="21">
      <c r="A21" s="27" t="s">
        <v>60</v>
      </c>
      <c r="B21" s="28" t="s">
        <v>61</v>
      </c>
      <c r="C21" s="29" t="s">
        <v>62</v>
      </c>
      <c r="D21" s="30" t="s">
        <v>63</v>
      </c>
    </row>
    <row r="22" spans="1:4" ht="28.9">
      <c r="A22" s="25">
        <v>1</v>
      </c>
      <c r="B22" s="24" t="s">
        <v>91</v>
      </c>
      <c r="C22" s="19" t="s">
        <v>65</v>
      </c>
      <c r="D22" s="36"/>
    </row>
    <row r="23" spans="1:4" ht="28.9">
      <c r="A23" s="25">
        <v>2</v>
      </c>
      <c r="B23" s="24" t="s">
        <v>78</v>
      </c>
      <c r="C23" s="19" t="s">
        <v>65</v>
      </c>
      <c r="D23" s="26"/>
    </row>
    <row r="24" spans="1:4" ht="28.9">
      <c r="A24" s="25">
        <v>3</v>
      </c>
      <c r="B24" s="24" t="s">
        <v>79</v>
      </c>
      <c r="C24" s="19" t="s">
        <v>65</v>
      </c>
      <c r="D24" s="26"/>
    </row>
    <row r="25" spans="1:4" ht="28.9">
      <c r="A25" s="25">
        <v>4</v>
      </c>
      <c r="B25" s="24" t="s">
        <v>80</v>
      </c>
      <c r="C25" s="19" t="s">
        <v>65</v>
      </c>
      <c r="D25" s="26"/>
    </row>
    <row r="26" spans="1:4" ht="28.9">
      <c r="A26" s="17">
        <v>5</v>
      </c>
      <c r="B26" s="18" t="s">
        <v>81</v>
      </c>
      <c r="C26" s="19" t="s">
        <v>65</v>
      </c>
      <c r="D26" s="22"/>
    </row>
    <row r="27" spans="1:4" ht="18">
      <c r="A27" s="61" t="s">
        <v>74</v>
      </c>
      <c r="B27" s="57"/>
      <c r="C27" s="20">
        <f>COUNTA('MODELO LISTA DE COMPROBACIO (3)'!$C$22:$C$26)</f>
        <v>5</v>
      </c>
      <c r="D27" s="20">
        <f>COUNTA('MODELO LISTA DE COMPROBACIO (3)'!$D$22:$D$26)</f>
        <v>0</v>
      </c>
    </row>
    <row r="28" spans="1:4" ht="18">
      <c r="A28" s="61" t="s">
        <v>75</v>
      </c>
      <c r="B28" s="57"/>
      <c r="C28" s="21">
        <f>C27/5</f>
        <v>1</v>
      </c>
      <c r="D28" s="21">
        <f>D27/5</f>
        <v>0</v>
      </c>
    </row>
    <row r="29" spans="1:4" ht="18">
      <c r="A29" s="44"/>
      <c r="B29" s="44"/>
      <c r="C29" s="21"/>
      <c r="D29" s="20"/>
    </row>
    <row r="30" spans="1:4" ht="23.45">
      <c r="A30" s="65" t="s">
        <v>82</v>
      </c>
      <c r="B30" s="57"/>
      <c r="C30" s="57"/>
      <c r="D30" s="57"/>
    </row>
    <row r="31" spans="1:4" ht="21">
      <c r="A31" s="27" t="s">
        <v>60</v>
      </c>
      <c r="B31" s="28" t="s">
        <v>61</v>
      </c>
      <c r="C31" s="29" t="s">
        <v>62</v>
      </c>
      <c r="D31" s="30" t="s">
        <v>63</v>
      </c>
    </row>
    <row r="32" spans="1:4" ht="28.9">
      <c r="A32" s="25">
        <v>1</v>
      </c>
      <c r="B32" s="24" t="s">
        <v>83</v>
      </c>
      <c r="C32" s="19" t="s">
        <v>65</v>
      </c>
      <c r="D32" s="19"/>
    </row>
    <row r="33" spans="1:4" ht="43.15">
      <c r="A33" s="25">
        <v>2</v>
      </c>
      <c r="B33" s="24" t="s">
        <v>84</v>
      </c>
      <c r="C33" s="19" t="s">
        <v>65</v>
      </c>
      <c r="D33" s="19"/>
    </row>
    <row r="34" spans="1:4" ht="43.15">
      <c r="A34" s="17">
        <v>3</v>
      </c>
      <c r="B34" s="18" t="s">
        <v>85</v>
      </c>
      <c r="C34" s="19" t="s">
        <v>65</v>
      </c>
      <c r="D34" s="19"/>
    </row>
    <row r="35" spans="1:4" ht="18">
      <c r="A35" s="61" t="s">
        <v>74</v>
      </c>
      <c r="B35" s="57"/>
      <c r="C35" s="36">
        <f>COUNTA('MODELO LISTA DE COMPROBACIO (3)'!$C$32:$C$34)</f>
        <v>3</v>
      </c>
      <c r="D35" s="36">
        <f>COUNTA('MODELO LISTA DE COMPROBACIO (3)'!$D$32:$D$34)</f>
        <v>0</v>
      </c>
    </row>
    <row r="36" spans="1:4" ht="18">
      <c r="A36" s="61" t="s">
        <v>75</v>
      </c>
      <c r="B36" s="57"/>
      <c r="C36" s="21">
        <f>C35/3</f>
        <v>1</v>
      </c>
      <c r="D36" s="21">
        <f>D35/3</f>
        <v>0</v>
      </c>
    </row>
    <row r="40" spans="1:4" ht="18">
      <c r="A40" s="66" t="s">
        <v>86</v>
      </c>
      <c r="B40" s="57"/>
      <c r="C40" s="57"/>
      <c r="D40" s="36"/>
    </row>
    <row r="41" spans="1:4">
      <c r="A41" s="36"/>
      <c r="B41" s="10" t="s">
        <v>87</v>
      </c>
      <c r="C41" s="20">
        <v>67</v>
      </c>
      <c r="D41" s="36"/>
    </row>
    <row r="42" spans="1:4">
      <c r="A42" s="36"/>
      <c r="B42" s="10" t="s">
        <v>76</v>
      </c>
      <c r="C42" s="20">
        <v>100</v>
      </c>
      <c r="D42" s="36"/>
    </row>
    <row r="43" spans="1:4">
      <c r="A43" s="36"/>
      <c r="B43" s="10" t="s">
        <v>82</v>
      </c>
      <c r="C43" s="20">
        <v>100</v>
      </c>
      <c r="D43" s="36"/>
    </row>
    <row r="44" spans="1:4">
      <c r="A44" s="36"/>
      <c r="B44" s="36"/>
      <c r="C44" s="20"/>
      <c r="D44" s="36"/>
    </row>
    <row r="45" spans="1:4">
      <c r="A45" s="36"/>
      <c r="B45" s="36"/>
      <c r="C45" s="20"/>
      <c r="D45" s="36"/>
    </row>
  </sheetData>
  <mergeCells count="14">
    <mergeCell ref="A36:B36"/>
    <mergeCell ref="A40:C40"/>
    <mergeCell ref="A18:B18"/>
    <mergeCell ref="A20:D20"/>
    <mergeCell ref="A27:B27"/>
    <mergeCell ref="A28:B28"/>
    <mergeCell ref="A30:D30"/>
    <mergeCell ref="A35:B35"/>
    <mergeCell ref="A17:B17"/>
    <mergeCell ref="C1:D1"/>
    <mergeCell ref="C2:D2"/>
    <mergeCell ref="C3:D3"/>
    <mergeCell ref="C4:D4"/>
    <mergeCell ref="A6:D6"/>
  </mergeCells>
  <conditionalFormatting sqref="A32:D34">
    <cfRule type="containsText" dxfId="5" priority="1" operator="containsText" text="X">
      <formula>NOT(ISERROR(SEARCH(("X"),(A32))))</formula>
    </cfRule>
  </conditionalFormatting>
  <conditionalFormatting sqref="C8:D8 D9:D10 C11:D16 C22 C23:D26 C32:D34">
    <cfRule type="containsText" dxfId="4" priority="3" operator="containsText" text="X">
      <formula>NOT(ISERROR(SEARCH(("X"),(C8))))</formula>
    </cfRule>
  </conditionalFormatting>
  <conditionalFormatting sqref="C8:D8 D9:D10 C11:D16 C22:C26 C32:D34">
    <cfRule type="containsText" dxfId="3" priority="4" operator="containsText" text="X">
      <formula>NOT(ISERROR(SEARCH(("X"),(C8))))</formula>
    </cfRule>
    <cfRule type="containsText" dxfId="2" priority="5" operator="containsText" text="X">
      <formula>NOT(ISERROR(SEARCH(("X"),(C8))))</formula>
    </cfRule>
  </conditionalFormatting>
  <conditionalFormatting sqref="C32:D34 C8:D8 D9:D10 C11:D16 C22 C23:D26">
    <cfRule type="containsText" dxfId="1" priority="2" operator="containsText" text="X">
      <formula>NOT(ISERROR(SEARCH(("X"),(C8))))</formula>
    </cfRule>
  </conditionalFormatting>
  <conditionalFormatting sqref="C32:D34">
    <cfRule type="containsText" dxfId="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5551-DEDC-4C10-8482-86F5FDF4958A}">
  <dimension ref="A1:B998"/>
  <sheetViews>
    <sheetView workbookViewId="0">
      <selection activeCell="A6" sqref="A6"/>
    </sheetView>
  </sheetViews>
  <sheetFormatPr defaultColWidth="14.42578125" defaultRowHeight="15" customHeight="1"/>
  <cols>
    <col min="1" max="1" width="53.140625" customWidth="1"/>
    <col min="2" max="2" width="57.28515625" customWidth="1"/>
    <col min="3" max="26" width="10.7109375" customWidth="1"/>
  </cols>
  <sheetData>
    <row r="1" spans="1:2" ht="14.25" customHeight="1">
      <c r="A1" s="23" t="s">
        <v>94</v>
      </c>
      <c r="B1" s="23" t="s">
        <v>95</v>
      </c>
    </row>
    <row r="2" spans="1:2" ht="14.25" customHeight="1">
      <c r="A2" s="24" t="s">
        <v>96</v>
      </c>
      <c r="B2" s="24" t="s">
        <v>97</v>
      </c>
    </row>
    <row r="3" spans="1:2" ht="14.25" customHeight="1">
      <c r="A3" s="24" t="s">
        <v>98</v>
      </c>
      <c r="B3" s="24" t="s">
        <v>99</v>
      </c>
    </row>
    <row r="4" spans="1:2" ht="14.25" customHeight="1">
      <c r="A4" s="34" t="s">
        <v>100</v>
      </c>
      <c r="B4" s="34" t="s">
        <v>101</v>
      </c>
    </row>
    <row r="5" spans="1:2" ht="14.25" customHeight="1">
      <c r="A5" s="34" t="s">
        <v>102</v>
      </c>
      <c r="B5" s="34" t="s">
        <v>103</v>
      </c>
    </row>
    <row r="6" spans="1:2" ht="14.25" customHeight="1">
      <c r="A6" s="36"/>
      <c r="B6" s="36"/>
    </row>
    <row r="7" spans="1:2" ht="14.25" customHeight="1">
      <c r="A7" s="36"/>
      <c r="B7" s="36"/>
    </row>
    <row r="8" spans="1:2" ht="14.25" customHeight="1">
      <c r="A8" s="36"/>
      <c r="B8" s="36"/>
    </row>
    <row r="9" spans="1:2" ht="14.25" customHeight="1">
      <c r="A9" s="36"/>
      <c r="B9" s="36"/>
    </row>
    <row r="10" spans="1:2" ht="14.25" customHeight="1">
      <c r="A10" s="36"/>
      <c r="B10" s="36"/>
    </row>
    <row r="11" spans="1:2" ht="14.25" customHeight="1">
      <c r="A11" s="36"/>
      <c r="B11" s="36"/>
    </row>
    <row r="12" spans="1:2" ht="14.25" customHeight="1">
      <c r="A12" s="36"/>
      <c r="B12" s="36"/>
    </row>
    <row r="13" spans="1:2" ht="14.25" customHeight="1">
      <c r="A13" s="36"/>
      <c r="B13" s="36"/>
    </row>
    <row r="14" spans="1:2" ht="14.25" customHeight="1">
      <c r="A14" s="36"/>
      <c r="B14" s="36"/>
    </row>
    <row r="15" spans="1:2" ht="14.25" customHeight="1">
      <c r="A15" s="36"/>
      <c r="B15" s="36"/>
    </row>
    <row r="16" spans="1:2" ht="14.25" customHeight="1">
      <c r="A16" s="36"/>
      <c r="B16" s="3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7053-06F2-4566-B95F-C786443186EC}">
  <dimension ref="A1:B998"/>
  <sheetViews>
    <sheetView topLeftCell="B1" workbookViewId="0">
      <selection activeCell="A6" sqref="A6"/>
    </sheetView>
  </sheetViews>
  <sheetFormatPr defaultColWidth="14.42578125" defaultRowHeight="15" customHeight="1"/>
  <cols>
    <col min="1" max="1" width="53.140625" customWidth="1"/>
    <col min="2" max="2" width="57.28515625" customWidth="1"/>
    <col min="3" max="26" width="10.7109375" customWidth="1"/>
  </cols>
  <sheetData>
    <row r="1" spans="1:2" ht="14.25" customHeight="1">
      <c r="A1" s="23" t="s">
        <v>94</v>
      </c>
      <c r="B1" s="23" t="s">
        <v>95</v>
      </c>
    </row>
    <row r="2" spans="1:2" ht="14.25" customHeight="1">
      <c r="A2" s="24" t="s">
        <v>96</v>
      </c>
      <c r="B2" s="24" t="s">
        <v>97</v>
      </c>
    </row>
    <row r="3" spans="1:2" ht="14.25" customHeight="1">
      <c r="A3" s="18" t="s">
        <v>98</v>
      </c>
      <c r="B3" s="18" t="s">
        <v>99</v>
      </c>
    </row>
    <row r="4" spans="1:2" ht="14.25" customHeight="1">
      <c r="A4" s="32" t="s">
        <v>104</v>
      </c>
      <c r="B4" s="33" t="s">
        <v>105</v>
      </c>
    </row>
    <row r="5" spans="1:2" ht="14.25" customHeight="1">
      <c r="A5" s="33" t="s">
        <v>106</v>
      </c>
      <c r="B5" s="33" t="s">
        <v>107</v>
      </c>
    </row>
    <row r="6" spans="1:2" ht="14.25" customHeight="1">
      <c r="A6" s="31" t="s">
        <v>108</v>
      </c>
      <c r="B6" s="31" t="s">
        <v>109</v>
      </c>
    </row>
    <row r="7" spans="1:2" ht="14.25" customHeight="1">
      <c r="A7" s="36"/>
      <c r="B7" s="36"/>
    </row>
    <row r="8" spans="1:2" ht="14.25" customHeight="1">
      <c r="A8" s="36"/>
      <c r="B8" s="36"/>
    </row>
    <row r="9" spans="1:2" ht="14.25" customHeight="1">
      <c r="A9" s="36"/>
      <c r="B9" s="36"/>
    </row>
    <row r="10" spans="1:2" ht="14.25" customHeight="1">
      <c r="A10" s="36"/>
      <c r="B10" s="36"/>
    </row>
    <row r="11" spans="1:2" ht="14.25" customHeight="1">
      <c r="A11" s="36"/>
      <c r="B11" s="36"/>
    </row>
    <row r="12" spans="1:2" ht="14.25" customHeight="1">
      <c r="A12" s="36"/>
      <c r="B12" s="36"/>
    </row>
    <row r="13" spans="1:2" ht="14.25" customHeight="1">
      <c r="A13" s="36"/>
      <c r="B13" s="36"/>
    </row>
    <row r="14" spans="1:2" ht="14.25" customHeight="1">
      <c r="A14" s="36"/>
      <c r="B14" s="36"/>
    </row>
    <row r="15" spans="1:2" ht="14.25" customHeight="1">
      <c r="A15" s="36"/>
      <c r="B15" s="36"/>
    </row>
    <row r="16" spans="1:2" ht="14.25" customHeight="1">
      <c r="A16" s="36"/>
      <c r="B16" s="3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B4" sqref="B4"/>
    </sheetView>
  </sheetViews>
  <sheetFormatPr defaultColWidth="14.42578125" defaultRowHeight="15" customHeight="1"/>
  <cols>
    <col min="1" max="1" width="53.140625" customWidth="1"/>
    <col min="2" max="2" width="57.28515625" customWidth="1"/>
    <col min="3" max="26" width="10.7109375" customWidth="1"/>
  </cols>
  <sheetData>
    <row r="1" spans="1:2" ht="14.25" customHeight="1" thickBot="1">
      <c r="A1" s="23" t="s">
        <v>94</v>
      </c>
      <c r="B1" s="23" t="s">
        <v>95</v>
      </c>
    </row>
    <row r="2" spans="1:2" ht="14.25" customHeight="1" thickBot="1">
      <c r="A2" s="37"/>
      <c r="B2" s="37"/>
    </row>
    <row r="3" spans="1:2" ht="28.15" thickBot="1">
      <c r="A3" s="38" t="s">
        <v>110</v>
      </c>
      <c r="B3" s="38" t="s">
        <v>111</v>
      </c>
    </row>
    <row r="4" spans="1:2" ht="28.15" thickBot="1">
      <c r="A4" s="38" t="s">
        <v>112</v>
      </c>
      <c r="B4" s="38" t="s">
        <v>113</v>
      </c>
    </row>
    <row r="5" spans="1:2" ht="15.6">
      <c r="A5" s="35"/>
      <c r="B5" s="35"/>
    </row>
    <row r="6" spans="1:2" ht="14.25" customHeight="1">
      <c r="A6" s="36"/>
      <c r="B6" s="36"/>
    </row>
    <row r="7" spans="1:2" ht="14.25" customHeight="1">
      <c r="A7" s="36"/>
      <c r="B7" s="36"/>
    </row>
    <row r="8" spans="1:2" ht="14.25" customHeight="1">
      <c r="A8" s="36"/>
      <c r="B8" s="36"/>
    </row>
    <row r="9" spans="1:2" ht="14.25" customHeight="1">
      <c r="A9" s="36"/>
      <c r="B9" s="36"/>
    </row>
    <row r="10" spans="1:2" ht="14.25" customHeight="1">
      <c r="A10" s="36"/>
      <c r="B10" s="36"/>
    </row>
    <row r="11" spans="1:2" ht="14.25" customHeight="1">
      <c r="A11" s="36"/>
      <c r="B11" s="36"/>
    </row>
    <row r="12" spans="1:2" ht="14.25" customHeight="1">
      <c r="A12" s="36"/>
      <c r="B12" s="36"/>
    </row>
    <row r="13" spans="1:2" ht="14.25" customHeight="1">
      <c r="A13" s="36"/>
      <c r="B13" s="36"/>
    </row>
    <row r="14" spans="1:2" ht="14.25" customHeight="1">
      <c r="A14" s="36"/>
      <c r="B14" s="36"/>
    </row>
    <row r="15" spans="1:2" ht="14.25" customHeight="1">
      <c r="A15" s="36"/>
      <c r="B15" s="36"/>
    </row>
    <row r="16" spans="1:2" ht="14.25" customHeight="1">
      <c r="A16" s="36"/>
      <c r="B16" s="36"/>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DYNABOOK</dc:creator>
  <cp:keywords/>
  <dc:description/>
  <cp:lastModifiedBy/>
  <cp:revision/>
  <dcterms:created xsi:type="dcterms:W3CDTF">2026-04-14T13:46:44Z</dcterms:created>
  <dcterms:modified xsi:type="dcterms:W3CDTF">2026-05-14T16:19:46Z</dcterms:modified>
  <cp:category/>
  <cp:contentStatus/>
</cp:coreProperties>
</file>