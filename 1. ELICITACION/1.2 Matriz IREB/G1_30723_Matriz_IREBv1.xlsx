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DYNABOOK\Desktop\IREB_HOTPOTY\"/>
    </mc:Choice>
  </mc:AlternateContent>
  <xr:revisionPtr revIDLastSave="0" documentId="8_{DD19C639-E56E-49B7-A21E-29162B72EBA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triz Ckeck LIst" sheetId="1" r:id="rId1"/>
    <sheet name="MODELO LISTA DE COMPROBACIO (3)" sheetId="7" r:id="rId2"/>
    <sheet name="MODELO LISTA DE COMPROBACIO (2)" sheetId="6" r:id="rId3"/>
    <sheet name="MODELO LISTA DE COMPROBACION - " sheetId="2" r:id="rId4"/>
    <sheet name="RECOMENDACIONES - CU001.3 (3)" sheetId="9" r:id="rId5"/>
    <sheet name="RECOMENDACIONES - CU001.3 (2)" sheetId="8" r:id="rId6"/>
    <sheet name="RECOMENDACIONES - RQF-011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7" l="1"/>
  <c r="D35" i="7"/>
  <c r="C36" i="7"/>
  <c r="D36" i="7"/>
  <c r="C27" i="7"/>
  <c r="D27" i="7"/>
  <c r="C28" i="7"/>
  <c r="D28" i="7"/>
  <c r="C17" i="7"/>
  <c r="D17" i="7"/>
  <c r="C18" i="7"/>
  <c r="D18" i="7"/>
  <c r="D35" i="6"/>
  <c r="D36" i="6" s="1"/>
  <c r="C35" i="6"/>
  <c r="C36" i="6" s="1"/>
  <c r="D27" i="6"/>
  <c r="D28" i="6" s="1"/>
  <c r="C27" i="6"/>
  <c r="C28" i="6" s="1"/>
  <c r="D17" i="6"/>
  <c r="D18" i="6" s="1"/>
  <c r="C17" i="6"/>
  <c r="C18" i="6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C81FCB72-9324-4521-A8BE-3E9410A249BF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21478B2C-2115-4A65-A1D6-4BA3686CF565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J7" authorId="0" shapeId="0" xr:uid="{0689E5F8-2C83-4529-934C-4449A06817CC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26588305-8B76-4E7F-9590-3DCF95E715F3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367D8C1D-BEB0-497B-A9AB-18BFC7ADA20E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36432E68-104C-47D9-9B1E-A83891C60C41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2C765205-FBA0-4744-AA48-72DD7D339B47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810825B8-AD3B-405F-AE54-1375707C11EA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529D90B1-36BB-4F75-A1C8-72C2A07EB51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A76ED0A1-947C-4057-A842-3ACD3DC885F2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8BB2AEE-DBBC-4A77-A4D6-A039435D118F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4642FEB4-1CCF-46F4-8F7F-B0AB3F44BBE7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7F5C7477-0C3E-4A66-A2BB-89A1E847A323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58187E38-DF38-4394-9D2A-A228EB1C61B3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F7BF0EB7-651F-4D61-9A60-AF9AB48C749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E4E04CD7-B818-4CC6-9226-DB2FD0781DC4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3498505A-988D-48B3-BE80-2A0E4325FF42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6740719-691C-41A0-B23F-0540166A8B9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7E6F319A-1068-4654-A8AF-994C10A36326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C71406BE-512D-470D-9C52-7B5D382CDEE7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30BD6B8A-CE00-4EF4-8AAF-917D246D032A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60E7EDAF-1C90-41F2-9C23-DAA4D172BC66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<sst xmlns="http://schemas.openxmlformats.org/spreadsheetml/2006/main" count="317" uniqueCount="110">
  <si>
    <t>MATRIZ PARA COMPROBACIÓN REQUERIMIENTOS DE CALIDAD DE PROYECTO ACADEMICO</t>
  </si>
  <si>
    <t>SISTEMA:</t>
  </si>
  <si>
    <t>Sistema de gestión de papelería (PaperBoost)</t>
  </si>
  <si>
    <t>Requerimientos  Funcionales</t>
  </si>
  <si>
    <t>Nº</t>
  </si>
  <si>
    <t>CRITERIOS DE CALIDAD (Documento/Requerimientos)</t>
  </si>
  <si>
    <t>Status
Nivel de Acuerdo</t>
  </si>
  <si>
    <t xml:space="preserve">
RQF-007 Registro de producto manual
</t>
  </si>
  <si>
    <t>RQF-011 Consulta de productos en inventario</t>
  </si>
  <si>
    <t>RQF-013  Editar datos de producto</t>
  </si>
  <si>
    <t>Agreed</t>
  </si>
  <si>
    <t>NOK</t>
  </si>
  <si>
    <t>1. No se cuenta con la documentación necesaria para verificar este punto. (entrevista, videos, etc)</t>
  </si>
  <si>
    <t>1. No existe el detalle de campos necesarios para satisfacer el requisito</t>
  </si>
  <si>
    <t>1. No existe el detalle de campos necesarios para satisfacer el requisito de edición del producto</t>
  </si>
  <si>
    <t>Ranked</t>
  </si>
  <si>
    <t>OK</t>
  </si>
  <si>
    <t>1. En la columna de importancia del requisito se especifica la prioridad Alta</t>
  </si>
  <si>
    <t>1. En la descripción del caso de Uso se especifica la prioridad Alta</t>
  </si>
  <si>
    <t>1. En la columna de importancia del requisito de edición del producto nota que es Alta</t>
  </si>
  <si>
    <t>Unambiguos</t>
  </si>
  <si>
    <t>1. Aunque la redaccion es correcta, hace falta especificar de manera mas detallada los requisitos planteados</t>
  </si>
  <si>
    <t xml:space="preserve">1. Falta la especificación de los casos de uso </t>
  </si>
  <si>
    <t>1. El tutor, el equipo y el cliente interpretan los campos del producto de manera diferente ya que no están detallados</t>
  </si>
  <si>
    <t>Valid and up-to date</t>
  </si>
  <si>
    <t xml:space="preserve">1. El requisito esta actualizado en base a los cambios solicitados por el cliente y el revisor.                                                                                           </t>
  </si>
  <si>
    <t>1. Se tiene un control de versionamiento del documento</t>
  </si>
  <si>
    <t>1. Control de cambios al inicio del documento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</si>
  <si>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</si>
  <si>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las necesidades de los usuarios.</t>
  </si>
  <si>
    <t>1. Esta alineado a los objetivos del sistema</t>
  </si>
  <si>
    <t>1. Alineado con los objetivos del sistema</t>
  </si>
  <si>
    <t>Consisten</t>
  </si>
  <si>
    <t>1. Documentación basada en modelos: Diagrama de Casos de Uso
2. Usa términos definidos previamente.                                                                                                                                                                                       3. Verificado bajo matriz de trazabilidad de requisitos.</t>
  </si>
  <si>
    <t>1. Esta alineado a los requisitos del sistema ya que fue evaluado con la matriz de trazabilidad y no entra en conflícto con ningún requisito</t>
  </si>
  <si>
    <t>1. No contradice a ningun ya que fue verificado con la matriz de trazabilidad de requisitos</t>
  </si>
  <si>
    <t>Verificable</t>
  </si>
  <si>
    <t>1. Requisito Medible                                                           2.  Falta Casos de Prueba</t>
  </si>
  <si>
    <t xml:space="preserve">1. Requsito medible 2. Falta la codificacion del requisito </t>
  </si>
  <si>
    <t>1. Falta de codificación o entregable del requisito</t>
  </si>
  <si>
    <t>Realizable</t>
  </si>
  <si>
    <t xml:space="preserve">1. No cuenta con la organizacion necesaria para su implementacion.
2. No se ha desarrollado </t>
  </si>
  <si>
    <t>1. Requisito estimado no comprobado</t>
  </si>
  <si>
    <t>Traceable</t>
  </si>
  <si>
    <t xml:space="preserve">1. El requisito se relaciona correctamente con el caso de uso pero no con lo demas requisitos en base a un diagrama o alguna otra técnica.                                                                                                                                                                                                                                               </t>
  </si>
  <si>
    <t>1. En el documento de requisitos no está explicito la relación como en el diagrama de caso de uso</t>
  </si>
  <si>
    <t>Complete</t>
  </si>
  <si>
    <t>1. No contiene la informacion la informacion necesaria y detallada dentro del requisito definido. 
2. Describe completamente la funcionalidad esperada.</t>
  </si>
  <si>
    <t>1. Tiene la información necesaria para entender pero no esta explicito como tal el caso de uso en el documento</t>
  </si>
  <si>
    <t>1. Falta información detallada del caso de uso en el documento.</t>
  </si>
  <si>
    <t>Understandability</t>
  </si>
  <si>
    <t>1. Se involucra al cliente
2. Existe glosario de términos</t>
  </si>
  <si>
    <t>1. Esta redactado con un lenjuaje claro para que todos los involucrados lo entiendan facilménte</t>
  </si>
  <si>
    <t>1. El documento posee glosario de términos</t>
  </si>
  <si>
    <t>FECHA:</t>
  </si>
  <si>
    <t>AUTOR:</t>
  </si>
  <si>
    <t>Viscaino Jordy</t>
  </si>
  <si>
    <t>REQUERIMIENTOS EVALUADOS :</t>
  </si>
  <si>
    <t xml:space="preserve">RQF-007 Registro de producto manual
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</si>
  <si>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</si>
  <si>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</si>
  <si>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</si>
  <si>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</si>
  <si>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</si>
  <si>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</si>
  <si>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</si>
  <si>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</si>
  <si>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</si>
  <si>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</si>
  <si>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</si>
  <si>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</si>
  <si>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</si>
  <si>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</si>
  <si>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</si>
  <si>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</si>
  <si>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</si>
  <si>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</si>
  <si>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</si>
  <si>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</si>
  <si>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</si>
  <si>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</si>
  <si>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</si>
  <si>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</si>
  <si>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</si>
  <si>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</si>
  <si>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</si>
  <si>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</si>
  <si>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</si>
  <si>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Lucas Góngora</t>
  </si>
  <si>
    <t xml:space="preserve">Sistema de gestión de papelería (PaperBoost)	</t>
  </si>
  <si>
    <t>Klever Jami</t>
  </si>
  <si>
    <t>x</t>
  </si>
  <si>
    <t>PREGUNTA</t>
  </si>
  <si>
    <t>RECOMENDACIÓN</t>
  </si>
  <si>
    <t>¿Se han validado y aprobado formalmente todos los entregables de la entrevista (videoconferencia, minuta, acta de aceptación)?</t>
  </si>
  <si>
    <t>Establecer firmas digitales o un acta de reunión oficial tras cada sesión de descubrimiento, de modo que quede constancia inequívoca de la aprobación de alcance y contenido por parte de tutor, cliente y equipo.</t>
  </si>
  <si>
    <t>¿Se han definido criterios de aceptación y casos de prueba
 que permitan medir objetivamente el cumplimiento del 
requisito?</t>
  </si>
  <si>
    <t>Elaborar una lista de Criterios de Aceptación en formato Given-When-Then, asociada a pruebas unitarias o de aceptación automatizadas, de modo que cada criterio quede cubierto por al menos un caso de prueba.</t>
  </si>
  <si>
    <t>¿El documento de SRS cumple con la estructura definida por el estandar IEEE?</t>
  </si>
  <si>
    <t>Seguir formalmente un estandar como IEEE 830 O ISO 29148 como plantilla base para el desarrollo del SRS, asegurando todas las secciones requeridas.</t>
  </si>
  <si>
    <t>¿Se han incluido artefactos de modelado suficientes (casos de uso, diagramas) para asegurar la completitud y validación de los requisitos del sistema?</t>
  </si>
  <si>
    <t>Es necesario que el documento contenga artefactos de modelado estandar con el fin de que se validen los requisitos y sean entendible y modificables.</t>
  </si>
  <si>
    <t>¿Se ha utilizado un documento estandarizado segun la IEEE 830 para realizar el SRS?</t>
  </si>
  <si>
    <t xml:space="preserve">se recomienda seguir como base un documento estándar </t>
  </si>
  <si>
    <t>¿Los campos del producto han sido detallado en el documento?</t>
  </si>
  <si>
    <t>se recomienda en la descripción del requisito ser detallado con lo que ingresa el usuario</t>
  </si>
  <si>
    <t>¿Los casos de uso y demas anexos están presentes en el documento SRS ?</t>
  </si>
  <si>
    <t>Se recomienda anexar archivos que respalden o justifiquen los requisitos establecidos</t>
  </si>
  <si>
    <t>¿El docuemnto SRS fue desarrollado bajo el IEEE-830?</t>
  </si>
  <si>
    <t>Desarrollar la documentación bajo el estandar IEEE-830 que valide dicha información de manera profesional.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</si>
</sst>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/>
    <xf numFmtId="0" fontId="10" fillId="4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/>
    <xf numFmtId="9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/>
    <xf numFmtId="0" fontId="16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/>
    <xf numFmtId="0" fontId="0" fillId="0" borderId="0" xfId="0" applyFont="1" applyAlignment="1"/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9" fontId="8" fillId="0" borderId="0" xfId="0" applyNumberFormat="1" applyFont="1" applyAlignment="1"/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5" xfId="0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0" xfId="0" quotePrefix="1" applyFont="1" applyAlignment="1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9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9" fillId="3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/>
    <xf numFmtId="0" fontId="6" fillId="2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/>
    <xf numFmtId="0" fontId="6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10" xfId="0" applyFont="1" applyBorder="1" applyAlignment="1"/>
    <xf numFmtId="0" fontId="5" fillId="0" borderId="7" xfId="0" applyFont="1" applyBorder="1" applyAlignment="1"/>
    <xf numFmtId="0" fontId="7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5" fillId="0" borderId="11" xfId="0" applyFont="1" applyBorder="1" applyAlignment="1"/>
  </cellXfs>
  <cellStyles count="1">
    <cellStyle name="Normal" xfId="0" builtinId="0"/>
  </cellStyles>
  <dxfs count="55"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MODELO LISTA DE COMPROBACION - -style 2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MODELO LISTA DE COMPROBACION - -style 3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Hoja 1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Hoja 1-style 2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Hoja 1-style 3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MODELO DE LISTA DE COMPROBACION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MODELO DE LISTA DE COMPROBACION-style 2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MODELO DE LISTA DE COMPROBACION-style 3" pivot="0" count="3" xr9:uid="{00000000-0011-0000-FFFF-FFFF08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7D8-4DBF-9D2A-B7D3019EEDE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7D8-4DBF-9D2A-B7D3019EEDE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7D8-4DBF-9D2A-B7D3019EEDE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(3)'!$B$41:$B$43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(3)'!$C$41:$C$43</c:f>
              <c:numCache>
                <c:formatCode>General</c:formatCode>
                <c:ptCount val="3"/>
                <c:pt idx="0">
                  <c:v>67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D8-4DBF-9D2A-B7D3019EE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2CAF-4343-92E7-E42C0612668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2CAF-4343-92E7-E42C0612668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2CAF-4343-92E7-E42C0612668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(2)'!$B$41:$B$43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(2)'!$C$41:$C$43</c:f>
              <c:numCache>
                <c:formatCode>General</c:formatCode>
                <c:ptCount val="3"/>
                <c:pt idx="0">
                  <c:v>67</c:v>
                </c:pt>
                <c:pt idx="1">
                  <c:v>40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AF-4343-92E7-E42C06126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F20-4507-A285-7B504EA12A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F20-4507-A285-7B504EA12A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F20-4507-A285-7B504EA12A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0-4507-A285-7B504EA1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31185AE-15A0-4933-ACC7-C7B83DEA7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98081-A5AE-4183-8753-C97C8D3BA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19845B-E419-4031-95A5-EEB361BE5349}" name="Table_18" displayName="Table_18" ref="A7:D16">
  <tableColumns count="4">
    <tableColumn id="1" xr3:uid="{EBCDC7F5-686F-436A-B924-EBC103B69609}" name="No."/>
    <tableColumn id="2" xr3:uid="{33B81A38-CFB7-492C-8842-9187AD0D164D}" name="Pregunta"/>
    <tableColumn id="3" xr3:uid="{4C92904B-959B-4581-8416-01F1130C64EA}" name="SI"/>
    <tableColumn id="4" xr3:uid="{7FB05D02-89C3-4C2B-BE10-6417F8D7DA84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5BBE68-7946-4125-97D5-7CF61027F965}" name="Table_29" displayName="Table_29" ref="A21:D26">
  <tableColumns count="4">
    <tableColumn id="1" xr3:uid="{1CA44EF6-7974-426D-8B87-FE58D77BC766}" name="No."/>
    <tableColumn id="2" xr3:uid="{34B14489-076B-4997-B42C-7501F82DC839}" name="Pregunta"/>
    <tableColumn id="3" xr3:uid="{3D16E649-36DC-4AB9-86C5-7C15644C5757}" name="SI"/>
    <tableColumn id="4" xr3:uid="{5E09D889-520E-4751-ADAF-C19AB6507577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079EE9-700D-4E68-B1AC-0DFF538966CD}" name="Table_310" displayName="Table_310" ref="A31:D34">
  <tableColumns count="4">
    <tableColumn id="1" xr3:uid="{CE406EC5-01E7-4720-A7DA-C1040B09C49B}" name="No."/>
    <tableColumn id="2" xr3:uid="{46019C65-2C0B-448D-ACEF-41FEC95A2D8A}" name="Pregunta"/>
    <tableColumn id="3" xr3:uid="{235FF562-1245-497C-BB11-6A987ECD1A11}" name="SI"/>
    <tableColumn id="4" xr3:uid="{B0BD8392-660D-4429-9F09-9CBF4189D4B2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50711D-6627-4A03-8553-CE55270099EE}" name="Table_15" displayName="Table_15" ref="A7:D16">
  <tableColumns count="4">
    <tableColumn id="1" xr3:uid="{6B9433A9-8EC0-4DA8-B10E-9CE2584B0437}" name="No."/>
    <tableColumn id="2" xr3:uid="{1D906D51-104B-4B6D-B3C7-B1172D7F7C03}" name="Pregunta"/>
    <tableColumn id="3" xr3:uid="{E2B645A7-77AA-43A1-99DA-329E8A889C5D}" name="SI"/>
    <tableColumn id="4" xr3:uid="{6C9037D6-AD07-4E8C-9B9A-86B881B872D6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7DAD76-77D1-481E-A1F1-2CB1E2704F7A}" name="Table_26" displayName="Table_26" ref="A21:D26">
  <tableColumns count="4">
    <tableColumn id="1" xr3:uid="{4A4834D8-41ED-4A39-AB4B-5B26E6928778}" name="No."/>
    <tableColumn id="2" xr3:uid="{7311883A-A1AA-4848-AAFA-49C65F18C67B}" name="Pregunta"/>
    <tableColumn id="3" xr3:uid="{E1C6A43D-5DBC-45B0-B097-357854882EE2}" name="SI"/>
    <tableColumn id="4" xr3:uid="{9390BB5D-373C-4686-8AD0-9F8522B5A4A3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57D2A0-3831-4C53-9214-77F7522A1A0E}" name="Table_37" displayName="Table_37" ref="A31:D34">
  <tableColumns count="4">
    <tableColumn id="1" xr3:uid="{F2CD97E4-EB10-44C1-907D-BE746288D375}" name="No."/>
    <tableColumn id="2" xr3:uid="{682B972A-7B4C-4B5F-8F4A-6CA497A18EEB}" name="Pregunta"/>
    <tableColumn id="3" xr3:uid="{B883BA26-3571-4099-988E-39759A71BD80}" name="SI"/>
    <tableColumn id="4" xr3:uid="{781E487B-8297-463E-AC73-762DBF7CE168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abSelected="1" topLeftCell="A5" workbookViewId="0">
      <selection activeCell="F15" sqref="F15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3.7109375" customWidth="1"/>
    <col min="4" max="4" width="34.85546875" customWidth="1"/>
    <col min="5" max="5" width="9.7109375" customWidth="1"/>
    <col min="6" max="6" width="42.7109375" customWidth="1"/>
    <col min="7" max="7" width="10.140625" customWidth="1"/>
    <col min="8" max="8" width="4.7109375" hidden="1" customWidth="1"/>
    <col min="9" max="9" width="42.7109375" customWidth="1"/>
    <col min="10" max="10" width="9.85546875" customWidth="1"/>
    <col min="11" max="11" width="39.5703125" customWidth="1"/>
    <col min="12" max="27" width="11.42578125" customWidth="1"/>
  </cols>
  <sheetData>
    <row r="1" spans="2:11" ht="14.25" customHeight="1">
      <c r="B1" s="41"/>
      <c r="C1" s="1"/>
      <c r="D1" s="41"/>
      <c r="E1" s="41"/>
      <c r="F1" s="41"/>
      <c r="G1" s="41"/>
      <c r="H1" s="41"/>
      <c r="I1" s="41"/>
      <c r="J1" s="41"/>
      <c r="K1" s="41"/>
    </row>
    <row r="2" spans="2:11" ht="14.25" customHeight="1">
      <c r="B2" s="41"/>
      <c r="C2" s="1"/>
      <c r="D2" s="41"/>
      <c r="E2" s="41"/>
      <c r="F2" s="41"/>
      <c r="G2" s="41"/>
      <c r="H2" s="41"/>
      <c r="I2" s="41"/>
      <c r="J2" s="41"/>
      <c r="K2" s="41"/>
    </row>
    <row r="3" spans="2:11" ht="30" customHeight="1">
      <c r="B3" s="41"/>
      <c r="C3" s="54" t="s">
        <v>0</v>
      </c>
      <c r="D3" s="55"/>
      <c r="E3" s="55"/>
      <c r="F3" s="55"/>
      <c r="G3" s="55"/>
      <c r="H3" s="55"/>
      <c r="I3" s="55"/>
      <c r="J3" s="55"/>
      <c r="K3" s="55"/>
    </row>
    <row r="4" spans="2:11" ht="30" customHeight="1">
      <c r="B4" s="41"/>
      <c r="C4" s="55"/>
      <c r="D4" s="55"/>
      <c r="E4" s="55"/>
      <c r="F4" s="55"/>
      <c r="G4" s="55"/>
      <c r="H4" s="55"/>
      <c r="I4" s="55"/>
      <c r="J4" s="55"/>
      <c r="K4" s="55"/>
    </row>
    <row r="5" spans="2:11" ht="30" customHeight="1">
      <c r="B5" s="41"/>
      <c r="C5" s="40"/>
      <c r="D5" s="2" t="s">
        <v>1</v>
      </c>
      <c r="E5" s="56" t="s">
        <v>2</v>
      </c>
      <c r="F5" s="55"/>
      <c r="G5" s="55"/>
      <c r="H5" s="55"/>
      <c r="I5" s="55"/>
      <c r="J5" s="55"/>
      <c r="K5" s="55"/>
    </row>
    <row r="6" spans="2:11" ht="55.5" customHeight="1">
      <c r="B6" s="41"/>
      <c r="C6" s="1"/>
      <c r="D6" s="41"/>
      <c r="E6" s="41"/>
      <c r="F6" s="57" t="s">
        <v>3</v>
      </c>
      <c r="G6" s="58"/>
      <c r="H6" s="58"/>
      <c r="I6" s="58"/>
      <c r="J6" s="58"/>
      <c r="K6" s="46"/>
    </row>
    <row r="7" spans="2:11" ht="45" customHeight="1">
      <c r="B7" s="47" t="s">
        <v>4</v>
      </c>
      <c r="C7" s="49" t="s">
        <v>5</v>
      </c>
      <c r="D7" s="50"/>
      <c r="E7" s="53" t="s">
        <v>6</v>
      </c>
      <c r="F7" s="47" t="s">
        <v>7</v>
      </c>
      <c r="G7" s="53" t="s">
        <v>6</v>
      </c>
      <c r="H7" s="3"/>
      <c r="I7" s="47" t="s">
        <v>8</v>
      </c>
      <c r="J7" s="53" t="s">
        <v>6</v>
      </c>
      <c r="K7" s="47" t="s">
        <v>9</v>
      </c>
    </row>
    <row r="8" spans="2:11" ht="60" customHeight="1">
      <c r="B8" s="48"/>
      <c r="C8" s="51"/>
      <c r="D8" s="52"/>
      <c r="E8" s="48"/>
      <c r="F8" s="48"/>
      <c r="G8" s="48"/>
      <c r="H8" s="3"/>
      <c r="I8" s="48"/>
      <c r="J8" s="48"/>
      <c r="K8" s="48"/>
    </row>
    <row r="9" spans="2:11" ht="14.25" customHeight="1">
      <c r="B9" s="42">
        <v>1</v>
      </c>
      <c r="C9" s="45" t="s">
        <v>10</v>
      </c>
      <c r="D9" s="46"/>
      <c r="E9" s="9" t="s">
        <v>11</v>
      </c>
      <c r="F9" s="5" t="s">
        <v>12</v>
      </c>
      <c r="G9" s="9" t="s">
        <v>11</v>
      </c>
      <c r="H9" s="6"/>
      <c r="I9" s="5" t="s">
        <v>13</v>
      </c>
      <c r="J9" s="9" t="s">
        <v>11</v>
      </c>
      <c r="K9" s="5" t="s">
        <v>14</v>
      </c>
    </row>
    <row r="10" spans="2:11" ht="14.25" customHeight="1">
      <c r="B10" s="42">
        <v>2</v>
      </c>
      <c r="C10" s="45" t="s">
        <v>15</v>
      </c>
      <c r="D10" s="46"/>
      <c r="E10" s="4" t="s">
        <v>16</v>
      </c>
      <c r="F10" s="7" t="s">
        <v>17</v>
      </c>
      <c r="G10" s="4" t="s">
        <v>16</v>
      </c>
      <c r="H10" s="41"/>
      <c r="I10" s="7" t="s">
        <v>18</v>
      </c>
      <c r="J10" s="4" t="s">
        <v>16</v>
      </c>
      <c r="K10" s="7" t="s">
        <v>19</v>
      </c>
    </row>
    <row r="11" spans="2:11" ht="14.25" customHeight="1">
      <c r="B11" s="42">
        <v>3</v>
      </c>
      <c r="C11" s="45" t="s">
        <v>20</v>
      </c>
      <c r="D11" s="46"/>
      <c r="E11" s="9" t="s">
        <v>11</v>
      </c>
      <c r="F11" s="7" t="s">
        <v>21</v>
      </c>
      <c r="G11" s="9" t="s">
        <v>11</v>
      </c>
      <c r="H11" s="41"/>
      <c r="I11" s="7" t="s">
        <v>22</v>
      </c>
      <c r="J11" s="9" t="s">
        <v>11</v>
      </c>
      <c r="K11" s="7" t="s">
        <v>23</v>
      </c>
    </row>
    <row r="12" spans="2:11" ht="14.25" customHeight="1">
      <c r="B12" s="42">
        <v>4</v>
      </c>
      <c r="C12" s="45" t="s">
        <v>24</v>
      </c>
      <c r="D12" s="46"/>
      <c r="E12" s="4" t="s">
        <v>16</v>
      </c>
      <c r="F12" s="8" t="s">
        <v>25</v>
      </c>
      <c r="G12" s="4" t="s">
        <v>16</v>
      </c>
      <c r="H12" s="41"/>
      <c r="I12" s="8" t="s">
        <v>26</v>
      </c>
      <c r="J12" s="4" t="s">
        <v>16</v>
      </c>
      <c r="K12" s="8" t="s">
        <v>27</v>
      </c>
    </row>
    <row r="13" spans="2:11" ht="14.25" customHeight="1">
      <c r="B13" s="42">
        <v>5</v>
      </c>
      <c r="C13" s="45" t="s">
        <v>28</v>
      </c>
      <c r="D13" s="46"/>
      <c r="E13" s="4" t="s">
        <v>16</v>
      </c>
      <c r="F13" s="8" t="s">
        <v>29</v>
      </c>
      <c r="G13" s="4" t="s">
        <v>16</v>
      </c>
      <c r="H13" s="41"/>
      <c r="I13" s="8" t="s">
        <v>30</v>
      </c>
      <c r="J13" s="4" t="s">
        <v>16</v>
      </c>
      <c r="K13" s="8" t="s">
        <v>31</v>
      </c>
    </row>
    <row r="14" spans="2:11" ht="14.25" customHeight="1">
      <c r="B14" s="42">
        <v>6</v>
      </c>
      <c r="C14" s="45" t="s">
        <v>32</v>
      </c>
      <c r="D14" s="46"/>
      <c r="E14" s="4" t="s">
        <v>16</v>
      </c>
      <c r="F14" s="8" t="s">
        <v>33</v>
      </c>
      <c r="G14" s="4" t="s">
        <v>16</v>
      </c>
      <c r="H14" s="41"/>
      <c r="I14" s="8" t="s">
        <v>34</v>
      </c>
      <c r="J14" s="4" t="s">
        <v>16</v>
      </c>
      <c r="K14" s="8" t="s">
        <v>35</v>
      </c>
    </row>
    <row r="15" spans="2:11" ht="14.25" customHeight="1">
      <c r="B15" s="42">
        <v>7</v>
      </c>
      <c r="C15" s="45" t="s">
        <v>36</v>
      </c>
      <c r="D15" s="46"/>
      <c r="E15" s="9" t="s">
        <v>11</v>
      </c>
      <c r="F15" s="8" t="s">
        <v>37</v>
      </c>
      <c r="G15" s="9" t="s">
        <v>11</v>
      </c>
      <c r="H15" s="41"/>
      <c r="I15" s="8" t="s">
        <v>38</v>
      </c>
      <c r="J15" s="9" t="s">
        <v>11</v>
      </c>
      <c r="K15" s="8" t="s">
        <v>39</v>
      </c>
    </row>
    <row r="16" spans="2:11" ht="14.25" customHeight="1">
      <c r="B16" s="42">
        <v>8</v>
      </c>
      <c r="C16" s="45" t="s">
        <v>40</v>
      </c>
      <c r="D16" s="46"/>
      <c r="E16" s="9" t="s">
        <v>11</v>
      </c>
      <c r="F16" s="8" t="s">
        <v>41</v>
      </c>
      <c r="G16" s="9" t="s">
        <v>11</v>
      </c>
      <c r="H16" s="41"/>
      <c r="I16" s="8" t="s">
        <v>42</v>
      </c>
      <c r="J16" s="9" t="s">
        <v>11</v>
      </c>
      <c r="K16" s="8" t="s">
        <v>42</v>
      </c>
    </row>
    <row r="17" spans="2:11" ht="14.25" customHeight="1">
      <c r="B17" s="42">
        <v>9</v>
      </c>
      <c r="C17" s="45" t="s">
        <v>43</v>
      </c>
      <c r="D17" s="46"/>
      <c r="E17" s="9" t="s">
        <v>11</v>
      </c>
      <c r="F17" s="10" t="s">
        <v>44</v>
      </c>
      <c r="G17" s="9" t="s">
        <v>11</v>
      </c>
      <c r="H17" s="41"/>
      <c r="I17" s="10" t="s">
        <v>45</v>
      </c>
      <c r="J17" s="9" t="s">
        <v>11</v>
      </c>
      <c r="K17" s="10" t="s">
        <v>45</v>
      </c>
    </row>
    <row r="18" spans="2:11" ht="14.25" customHeight="1">
      <c r="B18" s="42">
        <v>10</v>
      </c>
      <c r="C18" s="45" t="s">
        <v>46</v>
      </c>
      <c r="D18" s="46"/>
      <c r="E18" s="9" t="s">
        <v>11</v>
      </c>
      <c r="F18" s="8" t="s">
        <v>47</v>
      </c>
      <c r="G18" s="9" t="s">
        <v>11</v>
      </c>
      <c r="H18" s="41"/>
      <c r="I18" s="8" t="s">
        <v>48</v>
      </c>
      <c r="J18" s="9" t="s">
        <v>11</v>
      </c>
      <c r="K18" s="8" t="s">
        <v>49</v>
      </c>
    </row>
    <row r="19" spans="2:11" ht="14.25" customHeight="1">
      <c r="B19" s="42">
        <v>11</v>
      </c>
      <c r="C19" s="45" t="s">
        <v>50</v>
      </c>
      <c r="D19" s="46"/>
      <c r="E19" s="4" t="s">
        <v>16</v>
      </c>
      <c r="F19" s="8" t="s">
        <v>51</v>
      </c>
      <c r="G19" s="4" t="s">
        <v>16</v>
      </c>
      <c r="H19" s="41"/>
      <c r="I19" s="8" t="s">
        <v>52</v>
      </c>
      <c r="J19" s="4" t="s">
        <v>16</v>
      </c>
      <c r="K19" s="8" t="s">
        <v>53</v>
      </c>
    </row>
    <row r="20" spans="2:11" ht="14.25" customHeight="1">
      <c r="B20" s="41"/>
      <c r="C20" s="1"/>
      <c r="D20" s="41"/>
      <c r="E20" s="41"/>
      <c r="F20" s="41"/>
      <c r="G20" s="41"/>
      <c r="H20" s="41"/>
      <c r="I20" s="41"/>
      <c r="J20" s="41"/>
      <c r="K20" s="41"/>
    </row>
    <row r="21" spans="2:11" ht="14.25" customHeight="1">
      <c r="B21" s="41"/>
      <c r="C21" s="1"/>
      <c r="D21" s="41"/>
      <c r="E21" s="41"/>
      <c r="F21" s="41"/>
      <c r="G21" s="41"/>
      <c r="H21" s="41"/>
      <c r="I21" s="41"/>
      <c r="J21" s="41"/>
      <c r="K21" s="41"/>
    </row>
    <row r="22" spans="2:11" ht="14.25" customHeight="1">
      <c r="B22" s="41"/>
      <c r="C22" s="1"/>
      <c r="D22" s="41"/>
      <c r="E22" s="41"/>
      <c r="F22" s="41"/>
      <c r="G22" s="41"/>
      <c r="H22" s="41"/>
      <c r="I22" s="41"/>
      <c r="J22" s="41"/>
      <c r="K22" s="41"/>
    </row>
    <row r="23" spans="2:11" ht="14.25" customHeight="1">
      <c r="B23" s="41"/>
      <c r="C23" s="1"/>
      <c r="D23" s="41"/>
      <c r="E23" s="41"/>
      <c r="F23" s="41"/>
      <c r="G23" s="41"/>
      <c r="H23" s="41"/>
      <c r="I23" s="41"/>
      <c r="J23" s="41"/>
      <c r="K23" s="41"/>
    </row>
    <row r="24" spans="2:11" ht="14.25" customHeight="1">
      <c r="B24" s="41"/>
      <c r="C24" s="1"/>
      <c r="D24" s="41"/>
      <c r="E24" s="41"/>
      <c r="F24" s="41"/>
      <c r="G24" s="41"/>
      <c r="H24" s="41"/>
      <c r="I24" s="41"/>
      <c r="J24" s="41"/>
      <c r="K24" s="41"/>
    </row>
    <row r="25" spans="2:11" ht="14.25" customHeight="1">
      <c r="B25" s="41"/>
      <c r="C25" s="1"/>
      <c r="D25" s="41"/>
      <c r="E25" s="41"/>
      <c r="F25" s="41"/>
      <c r="G25" s="41"/>
      <c r="H25" s="41"/>
      <c r="I25" s="41"/>
      <c r="J25" s="41"/>
      <c r="K25" s="41"/>
    </row>
    <row r="26" spans="2:11" ht="14.25" customHeight="1">
      <c r="B26" s="41"/>
      <c r="C26" s="1"/>
      <c r="D26" s="41"/>
      <c r="E26" s="41"/>
      <c r="F26" s="41"/>
      <c r="G26" s="41"/>
      <c r="H26" s="41"/>
      <c r="I26" s="41"/>
      <c r="J26" s="41"/>
      <c r="K26" s="41"/>
    </row>
    <row r="27" spans="2:11" ht="14.25" customHeight="1">
      <c r="B27" s="41"/>
      <c r="C27" s="1"/>
      <c r="D27" s="41"/>
      <c r="E27" s="41"/>
      <c r="F27" s="41"/>
      <c r="G27" s="41"/>
      <c r="H27" s="41"/>
      <c r="I27" s="41"/>
      <c r="J27" s="41"/>
      <c r="K27" s="41"/>
    </row>
    <row r="28" spans="2:11" ht="14.25" customHeight="1">
      <c r="B28" s="41"/>
      <c r="C28" s="1"/>
      <c r="D28" s="41"/>
      <c r="E28" s="41"/>
      <c r="F28" s="41"/>
      <c r="G28" s="41"/>
      <c r="H28" s="41"/>
      <c r="I28" s="41"/>
      <c r="J28" s="41"/>
      <c r="K28" s="41"/>
    </row>
    <row r="29" spans="2:11" ht="14.25" customHeight="1">
      <c r="B29" s="41"/>
      <c r="C29" s="1"/>
      <c r="D29" s="41"/>
      <c r="E29" s="41"/>
      <c r="F29" s="41"/>
      <c r="G29" s="41"/>
      <c r="H29" s="41"/>
      <c r="I29" s="41"/>
      <c r="J29" s="41"/>
      <c r="K29" s="41"/>
    </row>
    <row r="30" spans="2:11" ht="14.25" customHeight="1">
      <c r="B30" s="41"/>
      <c r="C30" s="1"/>
      <c r="D30" s="41"/>
      <c r="E30" s="41"/>
      <c r="F30" s="41"/>
      <c r="G30" s="41"/>
      <c r="H30" s="41"/>
      <c r="I30" s="41"/>
      <c r="J30" s="41"/>
      <c r="K30" s="41"/>
    </row>
    <row r="31" spans="2:11" ht="14.25" customHeight="1">
      <c r="B31" s="41"/>
      <c r="C31" s="1"/>
      <c r="D31" s="41"/>
      <c r="E31" s="41"/>
      <c r="F31" s="41"/>
      <c r="G31" s="41"/>
      <c r="H31" s="41"/>
      <c r="I31" s="41"/>
      <c r="J31" s="41"/>
      <c r="K31" s="41"/>
    </row>
    <row r="32" spans="2:11" ht="14.25" customHeight="1">
      <c r="B32" s="41"/>
      <c r="C32" s="1"/>
      <c r="D32" s="41"/>
      <c r="E32" s="41"/>
      <c r="F32" s="41"/>
      <c r="G32" s="41"/>
      <c r="H32" s="41"/>
      <c r="I32" s="41"/>
      <c r="J32" s="41"/>
      <c r="K32" s="4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F566-FC88-4292-8FC9-6EB5AB39AB36}">
  <dimension ref="A1:Z1000"/>
  <sheetViews>
    <sheetView topLeftCell="A19" workbookViewId="0">
      <selection activeCell="F24" sqref="F24"/>
    </sheetView>
  </sheetViews>
  <sheetFormatPr defaultColWidth="14.42578125" defaultRowHeight="15" customHeight="1"/>
  <cols>
    <col min="1" max="1" width="10.7109375" style="28" customWidth="1"/>
    <col min="2" max="2" width="34.5703125" style="28" customWidth="1"/>
    <col min="3" max="3" width="16.140625" style="28" customWidth="1"/>
    <col min="4" max="26" width="10.7109375" style="28" customWidth="1"/>
    <col min="27" max="16384" width="14.42578125" style="28"/>
  </cols>
  <sheetData>
    <row r="1" spans="1:26" ht="51" customHeight="1">
      <c r="A1" s="11"/>
      <c r="B1" s="12" t="s">
        <v>1</v>
      </c>
      <c r="C1" s="60" t="s">
        <v>2</v>
      </c>
      <c r="D1" s="55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41"/>
      <c r="B2" s="13" t="s">
        <v>54</v>
      </c>
      <c r="C2" s="61">
        <v>46126</v>
      </c>
      <c r="D2" s="55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4.25" customHeight="1">
      <c r="A3" s="41"/>
      <c r="B3" s="13" t="s">
        <v>55</v>
      </c>
      <c r="C3" s="62" t="s">
        <v>56</v>
      </c>
      <c r="D3" s="55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4.25" customHeight="1">
      <c r="A4" s="41"/>
      <c r="B4" s="13" t="s">
        <v>57</v>
      </c>
      <c r="C4" s="62" t="s">
        <v>58</v>
      </c>
      <c r="D4" s="55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4.2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4.25" customHeight="1">
      <c r="A6" s="63" t="s">
        <v>59</v>
      </c>
      <c r="B6" s="55"/>
      <c r="C6" s="55"/>
      <c r="D6" s="55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5" customHeight="1">
      <c r="A7" s="14" t="s">
        <v>60</v>
      </c>
      <c r="B7" s="15" t="s">
        <v>61</v>
      </c>
      <c r="C7" s="15" t="s">
        <v>62</v>
      </c>
      <c r="D7" s="16" t="s">
        <v>63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4.25" customHeight="1">
      <c r="A8" s="29">
        <v>1</v>
      </c>
      <c r="B8" s="26" t="s">
        <v>64</v>
      </c>
      <c r="C8" s="17" t="s">
        <v>65</v>
      </c>
      <c r="D8" s="30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4.25" customHeight="1">
      <c r="A9" s="29">
        <v>2</v>
      </c>
      <c r="B9" s="26" t="s">
        <v>66</v>
      </c>
      <c r="C9" s="41"/>
      <c r="D9" s="17" t="s">
        <v>65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4.25" customHeight="1">
      <c r="A10" s="29">
        <v>3</v>
      </c>
      <c r="B10" s="26" t="s">
        <v>67</v>
      </c>
      <c r="C10" s="41"/>
      <c r="D10" s="17" t="s">
        <v>65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4.25" customHeight="1">
      <c r="A11" s="29">
        <v>4</v>
      </c>
      <c r="B11" s="26" t="s">
        <v>68</v>
      </c>
      <c r="C11" s="17" t="s">
        <v>65</v>
      </c>
      <c r="D11" s="30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4.25" customHeight="1">
      <c r="A12" s="29">
        <v>5</v>
      </c>
      <c r="B12" s="26" t="s">
        <v>69</v>
      </c>
      <c r="C12" s="17" t="s">
        <v>65</v>
      </c>
      <c r="D12" s="3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4.25" customHeight="1">
      <c r="A13" s="29">
        <v>6</v>
      </c>
      <c r="B13" s="26" t="s">
        <v>70</v>
      </c>
      <c r="C13" s="17" t="s">
        <v>65</v>
      </c>
      <c r="D13" s="30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4.25" customHeight="1">
      <c r="A14" s="29">
        <v>7</v>
      </c>
      <c r="B14" s="26" t="s">
        <v>71</v>
      </c>
      <c r="C14" s="17" t="s">
        <v>65</v>
      </c>
      <c r="D14" s="3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4.25" customHeight="1">
      <c r="A15" s="29">
        <v>8</v>
      </c>
      <c r="B15" s="26" t="s">
        <v>72</v>
      </c>
      <c r="C15" s="17" t="s">
        <v>65</v>
      </c>
      <c r="D15" s="3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4.25" customHeight="1">
      <c r="A16" s="18">
        <v>9</v>
      </c>
      <c r="B16" s="19" t="s">
        <v>73</v>
      </c>
      <c r="C16" s="20"/>
      <c r="D16" s="20" t="s">
        <v>65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4" ht="14.25" customHeight="1">
      <c r="A17" s="59" t="s">
        <v>74</v>
      </c>
      <c r="B17" s="55"/>
      <c r="C17" s="24">
        <f>COUNTA('MODELO LISTA DE COMPROBACIO (3)'!$C$8:$C$16)</f>
        <v>6</v>
      </c>
      <c r="D17" s="24">
        <f>COUNTA('MODELO LISTA DE COMPROBACIO (3)'!$D$8:$D$16)</f>
        <v>3</v>
      </c>
    </row>
    <row r="18" spans="1:4" ht="14.25" customHeight="1">
      <c r="A18" s="59" t="s">
        <v>75</v>
      </c>
      <c r="B18" s="55"/>
      <c r="C18" s="31">
        <f>C17/9</f>
        <v>0.66666666666666663</v>
      </c>
      <c r="D18" s="31">
        <f>D17/9</f>
        <v>0.33333333333333331</v>
      </c>
    </row>
    <row r="19" spans="1:4" ht="14.25" customHeight="1">
      <c r="A19" s="43"/>
      <c r="B19" s="43"/>
      <c r="C19" s="31"/>
      <c r="D19" s="24"/>
    </row>
    <row r="20" spans="1:4" ht="14.25" customHeight="1">
      <c r="A20" s="65" t="s">
        <v>76</v>
      </c>
      <c r="B20" s="66"/>
      <c r="C20" s="66"/>
      <c r="D20" s="66"/>
    </row>
    <row r="21" spans="1:4" ht="14.25" customHeight="1">
      <c r="A21" s="32" t="s">
        <v>60</v>
      </c>
      <c r="B21" s="33" t="s">
        <v>61</v>
      </c>
      <c r="C21" s="34" t="s">
        <v>62</v>
      </c>
      <c r="D21" s="35" t="s">
        <v>63</v>
      </c>
    </row>
    <row r="22" spans="1:4" ht="14.25" customHeight="1">
      <c r="A22" s="29">
        <v>1</v>
      </c>
      <c r="B22" s="26" t="s">
        <v>77</v>
      </c>
      <c r="C22" s="41"/>
      <c r="D22" s="20" t="s">
        <v>65</v>
      </c>
    </row>
    <row r="23" spans="1:4" ht="14.25" customHeight="1">
      <c r="A23" s="29">
        <v>2</v>
      </c>
      <c r="B23" s="26" t="s">
        <v>78</v>
      </c>
      <c r="C23" s="20" t="s">
        <v>65</v>
      </c>
      <c r="D23" s="30"/>
    </row>
    <row r="24" spans="1:4" ht="14.25" customHeight="1">
      <c r="A24" s="29">
        <v>3</v>
      </c>
      <c r="B24" s="26" t="s">
        <v>79</v>
      </c>
      <c r="C24" s="20" t="s">
        <v>65</v>
      </c>
      <c r="D24" s="30"/>
    </row>
    <row r="25" spans="1:4" ht="14.25" customHeight="1">
      <c r="A25" s="29">
        <v>4</v>
      </c>
      <c r="B25" s="26" t="s">
        <v>80</v>
      </c>
      <c r="C25" s="20" t="s">
        <v>65</v>
      </c>
      <c r="D25" s="30"/>
    </row>
    <row r="26" spans="1:4" ht="14.25" customHeight="1">
      <c r="A26" s="18">
        <v>5</v>
      </c>
      <c r="B26" s="19" t="s">
        <v>81</v>
      </c>
      <c r="C26" s="20" t="s">
        <v>65</v>
      </c>
      <c r="D26" s="23"/>
    </row>
    <row r="27" spans="1:4" ht="14.25" customHeight="1">
      <c r="A27" s="59" t="s">
        <v>74</v>
      </c>
      <c r="B27" s="55"/>
      <c r="C27" s="24">
        <f>COUNTA('MODELO LISTA DE COMPROBACIO (3)'!$C$22:$C$26)</f>
        <v>4</v>
      </c>
      <c r="D27" s="24">
        <f>COUNTA('MODELO LISTA DE COMPROBACIO (3)'!$D$22:$D$26)</f>
        <v>1</v>
      </c>
    </row>
    <row r="28" spans="1:4" ht="14.25" customHeight="1">
      <c r="A28" s="59" t="s">
        <v>75</v>
      </c>
      <c r="B28" s="55"/>
      <c r="C28" s="31">
        <f>C27/5</f>
        <v>0.8</v>
      </c>
      <c r="D28" s="31">
        <f>D27/5</f>
        <v>0.2</v>
      </c>
    </row>
    <row r="29" spans="1:4" ht="14.25" customHeight="1">
      <c r="A29" s="43"/>
      <c r="B29" s="43"/>
      <c r="C29" s="31"/>
      <c r="D29" s="24"/>
    </row>
    <row r="30" spans="1:4" ht="14.25" customHeight="1">
      <c r="A30" s="63" t="s">
        <v>82</v>
      </c>
      <c r="B30" s="55"/>
      <c r="C30" s="55"/>
      <c r="D30" s="55"/>
    </row>
    <row r="31" spans="1:4" ht="14.25" customHeight="1">
      <c r="A31" s="32" t="s">
        <v>60</v>
      </c>
      <c r="B31" s="33" t="s">
        <v>61</v>
      </c>
      <c r="C31" s="34" t="s">
        <v>62</v>
      </c>
      <c r="D31" s="35" t="s">
        <v>63</v>
      </c>
    </row>
    <row r="32" spans="1:4" ht="14.25" customHeight="1">
      <c r="A32" s="29">
        <v>1</v>
      </c>
      <c r="B32" s="26" t="s">
        <v>83</v>
      </c>
      <c r="C32" s="20" t="s">
        <v>65</v>
      </c>
      <c r="D32" s="20"/>
    </row>
    <row r="33" spans="1:4" ht="14.25" customHeight="1">
      <c r="A33" s="29">
        <v>2</v>
      </c>
      <c r="B33" s="26" t="s">
        <v>84</v>
      </c>
      <c r="C33" s="20" t="s">
        <v>65</v>
      </c>
      <c r="D33" s="20"/>
    </row>
    <row r="34" spans="1:4" ht="14.25" customHeight="1">
      <c r="A34" s="18">
        <v>3</v>
      </c>
      <c r="B34" s="19" t="s">
        <v>85</v>
      </c>
      <c r="C34" s="20" t="s">
        <v>65</v>
      </c>
      <c r="D34" s="20"/>
    </row>
    <row r="35" spans="1:4" ht="14.25" customHeight="1">
      <c r="A35" s="59" t="s">
        <v>74</v>
      </c>
      <c r="B35" s="55"/>
      <c r="C35" s="41">
        <f>COUNTA('MODELO LISTA DE COMPROBACIO (3)'!$C$32:$C$34)</f>
        <v>3</v>
      </c>
      <c r="D35" s="41">
        <f>COUNTA('MODELO LISTA DE COMPROBACIO (3)'!$D$32:$D$34)</f>
        <v>0</v>
      </c>
    </row>
    <row r="36" spans="1:4" ht="14.25" customHeight="1">
      <c r="A36" s="59" t="s">
        <v>75</v>
      </c>
      <c r="B36" s="55"/>
      <c r="C36" s="31">
        <f>C35/3</f>
        <v>1</v>
      </c>
      <c r="D36" s="31">
        <f>D35/3</f>
        <v>0</v>
      </c>
    </row>
    <row r="37" spans="1:4" ht="14.25" customHeight="1">
      <c r="A37" s="41"/>
      <c r="B37" s="41"/>
      <c r="C37" s="41"/>
      <c r="D37" s="41"/>
    </row>
    <row r="38" spans="1:4" ht="14.25" customHeight="1">
      <c r="A38" s="41"/>
      <c r="B38" s="41"/>
      <c r="C38" s="41"/>
      <c r="D38" s="41"/>
    </row>
    <row r="39" spans="1:4" ht="14.25" customHeight="1">
      <c r="A39" s="41"/>
      <c r="B39" s="41"/>
      <c r="C39" s="41"/>
      <c r="D39" s="41"/>
    </row>
    <row r="40" spans="1:4" ht="14.25" customHeight="1">
      <c r="A40" s="64" t="s">
        <v>86</v>
      </c>
      <c r="B40" s="55"/>
      <c r="C40" s="55"/>
      <c r="D40" s="41"/>
    </row>
    <row r="41" spans="1:4" ht="30" customHeight="1">
      <c r="A41" s="41"/>
      <c r="B41" s="11" t="s">
        <v>87</v>
      </c>
      <c r="C41" s="24">
        <v>67</v>
      </c>
      <c r="D41" s="41"/>
    </row>
    <row r="42" spans="1:4" ht="30" customHeight="1">
      <c r="A42" s="41"/>
      <c r="B42" s="11" t="s">
        <v>76</v>
      </c>
      <c r="C42" s="24">
        <v>80</v>
      </c>
      <c r="D42" s="41"/>
    </row>
    <row r="43" spans="1:4" ht="30" customHeight="1">
      <c r="A43" s="41"/>
      <c r="B43" s="11" t="s">
        <v>82</v>
      </c>
      <c r="C43" s="24">
        <v>100</v>
      </c>
      <c r="D43" s="41"/>
    </row>
    <row r="44" spans="1:4" ht="14.25" customHeight="1">
      <c r="A44" s="41"/>
      <c r="B44" s="41"/>
      <c r="C44" s="24"/>
      <c r="D44" s="41"/>
    </row>
    <row r="45" spans="1:4" ht="14.25" customHeight="1">
      <c r="A45" s="41"/>
      <c r="B45" s="41"/>
      <c r="C45" s="24"/>
      <c r="D45" s="41"/>
    </row>
    <row r="46" spans="1:4" ht="14.25" customHeight="1">
      <c r="A46" s="41"/>
      <c r="B46" s="41"/>
      <c r="C46" s="41"/>
      <c r="D46" s="41"/>
    </row>
    <row r="47" spans="1:4" ht="14.25" customHeight="1">
      <c r="A47" s="41"/>
      <c r="B47" s="41"/>
      <c r="C47" s="41"/>
      <c r="D47" s="41"/>
    </row>
    <row r="48" spans="1:4" ht="14.25" customHeight="1">
      <c r="A48" s="41"/>
      <c r="B48" s="41"/>
      <c r="C48" s="41"/>
      <c r="D48" s="41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A17:B17"/>
    <mergeCell ref="C1:D1"/>
    <mergeCell ref="C2:D2"/>
    <mergeCell ref="C3:D3"/>
    <mergeCell ref="C4:D4"/>
    <mergeCell ref="A6:D6"/>
  </mergeCells>
  <conditionalFormatting sqref="A32:D34">
    <cfRule type="containsText" dxfId="27" priority="1" operator="containsText" text="X">
      <formula>NOT(ISERROR(SEARCH(("X"),(A32))))</formula>
    </cfRule>
  </conditionalFormatting>
  <conditionalFormatting sqref="C32:D34 C8:D8 C11:D16 D9:D10 C23:D26 D22">
    <cfRule type="containsText" dxfId="26" priority="2" operator="containsText" text="X">
      <formula>NOT(ISERROR(SEARCH(("X"),(C8))))</formula>
    </cfRule>
  </conditionalFormatting>
  <conditionalFormatting sqref="C32:D34 C8:D8 C11:D16 D9:D10 C23:D26 D22">
    <cfRule type="containsText" dxfId="25" priority="3" operator="containsText" text="X">
      <formula>NOT(ISERROR(SEARCH(("X"),(C8))))</formula>
    </cfRule>
  </conditionalFormatting>
  <conditionalFormatting sqref="C32:D34 C8:D8 C11:D16 D9:D10 C23:C26 D22">
    <cfRule type="containsText" dxfId="24" priority="4" operator="containsText" text="X">
      <formula>NOT(ISERROR(SEARCH(("X"),(C8))))</formula>
    </cfRule>
  </conditionalFormatting>
  <conditionalFormatting sqref="C32:D34 C8:D8 C11:D16 D9:D10 C23:C26 D22">
    <cfRule type="containsText" dxfId="23" priority="5" operator="containsText" text="X">
      <formula>NOT(ISERROR(SEARCH(("X"),(C8))))</formula>
    </cfRule>
  </conditionalFormatting>
  <conditionalFormatting sqref="C32:D34">
    <cfRule type="containsText" dxfId="22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FDCC-4DD5-4709-B964-7F1D7D7B7CE7}">
  <dimension ref="A1:Z1000"/>
  <sheetViews>
    <sheetView topLeftCell="A28" workbookViewId="0">
      <selection activeCell="B42" sqref="B42"/>
    </sheetView>
  </sheetViews>
  <sheetFormatPr defaultColWidth="14.42578125" defaultRowHeight="15" customHeight="1"/>
  <cols>
    <col min="1" max="1" width="10.7109375" style="28" customWidth="1"/>
    <col min="2" max="2" width="34.5703125" style="28" customWidth="1"/>
    <col min="3" max="3" width="16.140625" style="28" customWidth="1"/>
    <col min="4" max="26" width="10.7109375" style="28" customWidth="1"/>
    <col min="27" max="16384" width="14.42578125" style="28"/>
  </cols>
  <sheetData>
    <row r="1" spans="1:26" ht="51" customHeight="1">
      <c r="A1" s="11"/>
      <c r="B1" s="12" t="s">
        <v>1</v>
      </c>
      <c r="C1" s="60" t="s">
        <v>2</v>
      </c>
      <c r="D1" s="55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41"/>
      <c r="B2" s="13" t="s">
        <v>54</v>
      </c>
      <c r="C2" s="61">
        <v>46126</v>
      </c>
      <c r="D2" s="55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4.25" customHeight="1">
      <c r="A3" s="41"/>
      <c r="B3" s="13" t="s">
        <v>55</v>
      </c>
      <c r="C3" s="62" t="s">
        <v>88</v>
      </c>
      <c r="D3" s="55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4.25" customHeight="1">
      <c r="A4" s="41"/>
      <c r="B4" s="13" t="s">
        <v>57</v>
      </c>
      <c r="C4" s="62" t="s">
        <v>9</v>
      </c>
      <c r="D4" s="55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4.2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4.25" customHeight="1">
      <c r="A6" s="63" t="s">
        <v>59</v>
      </c>
      <c r="B6" s="55"/>
      <c r="C6" s="55"/>
      <c r="D6" s="55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5" customHeight="1">
      <c r="A7" s="14" t="s">
        <v>60</v>
      </c>
      <c r="B7" s="15" t="s">
        <v>61</v>
      </c>
      <c r="C7" s="15" t="s">
        <v>62</v>
      </c>
      <c r="D7" s="16" t="s">
        <v>63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4.25" customHeight="1">
      <c r="A8" s="29">
        <v>1</v>
      </c>
      <c r="B8" s="26" t="s">
        <v>64</v>
      </c>
      <c r="C8" s="17" t="s">
        <v>65</v>
      </c>
      <c r="D8" s="30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4.25" customHeight="1">
      <c r="A9" s="29">
        <v>2</v>
      </c>
      <c r="B9" s="26" t="s">
        <v>66</v>
      </c>
      <c r="C9" s="41"/>
      <c r="D9" s="17" t="s">
        <v>65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4.25" customHeight="1">
      <c r="A10" s="29">
        <v>3</v>
      </c>
      <c r="B10" s="26" t="s">
        <v>67</v>
      </c>
      <c r="C10" s="41"/>
      <c r="D10" s="17" t="s">
        <v>65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4.25" customHeight="1">
      <c r="A11" s="29">
        <v>4</v>
      </c>
      <c r="B11" s="26" t="s">
        <v>68</v>
      </c>
      <c r="C11" s="17" t="s">
        <v>65</v>
      </c>
      <c r="D11" s="30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4.25" customHeight="1">
      <c r="A12" s="29">
        <v>5</v>
      </c>
      <c r="B12" s="26" t="s">
        <v>69</v>
      </c>
      <c r="C12" s="17" t="s">
        <v>65</v>
      </c>
      <c r="D12" s="3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4.25" customHeight="1">
      <c r="A13" s="29">
        <v>6</v>
      </c>
      <c r="B13" s="26" t="s">
        <v>70</v>
      </c>
      <c r="C13" s="17" t="s">
        <v>65</v>
      </c>
      <c r="D13" s="30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4.25" customHeight="1">
      <c r="A14" s="29">
        <v>7</v>
      </c>
      <c r="B14" s="26" t="s">
        <v>71</v>
      </c>
      <c r="C14" s="17" t="s">
        <v>65</v>
      </c>
      <c r="D14" s="3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4.25" customHeight="1">
      <c r="A15" s="29">
        <v>8</v>
      </c>
      <c r="B15" s="26" t="s">
        <v>72</v>
      </c>
      <c r="C15" s="17" t="s">
        <v>65</v>
      </c>
      <c r="D15" s="3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4.25" customHeight="1">
      <c r="A16" s="18">
        <v>9</v>
      </c>
      <c r="B16" s="19" t="s">
        <v>73</v>
      </c>
      <c r="C16" s="20"/>
      <c r="D16" s="20" t="s">
        <v>65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4" ht="14.25" customHeight="1">
      <c r="A17" s="59" t="s">
        <v>74</v>
      </c>
      <c r="B17" s="55"/>
      <c r="C17" s="21">
        <f>COUNTA('MODELO LISTA DE COMPROBACIO (2)'!$C$8:$C$16)</f>
        <v>6</v>
      </c>
      <c r="D17" s="21">
        <f>COUNTA('MODELO LISTA DE COMPROBACIO (2)'!$D$8:$D$16)</f>
        <v>3</v>
      </c>
    </row>
    <row r="18" spans="1:4" ht="14.25" customHeight="1">
      <c r="A18" s="59" t="s">
        <v>75</v>
      </c>
      <c r="B18" s="55"/>
      <c r="C18" s="22">
        <f t="shared" ref="C18:D18" si="0">C17/9</f>
        <v>0.66666666666666663</v>
      </c>
      <c r="D18" s="22">
        <f t="shared" si="0"/>
        <v>0.33333333333333331</v>
      </c>
    </row>
    <row r="19" spans="1:4" ht="14.25" customHeight="1">
      <c r="A19" s="43"/>
      <c r="B19" s="43"/>
      <c r="C19" s="22"/>
      <c r="D19" s="21"/>
    </row>
    <row r="20" spans="1:4" ht="14.25" customHeight="1">
      <c r="A20" s="65" t="s">
        <v>76</v>
      </c>
      <c r="B20" s="66"/>
      <c r="C20" s="66"/>
      <c r="D20" s="66"/>
    </row>
    <row r="21" spans="1:4" ht="14.25" customHeight="1">
      <c r="A21" s="32" t="s">
        <v>60</v>
      </c>
      <c r="B21" s="33" t="s">
        <v>61</v>
      </c>
      <c r="C21" s="34" t="s">
        <v>62</v>
      </c>
      <c r="D21" s="35" t="s">
        <v>63</v>
      </c>
    </row>
    <row r="22" spans="1:4" ht="14.25" customHeight="1">
      <c r="A22" s="29">
        <v>1</v>
      </c>
      <c r="B22" s="26" t="s">
        <v>77</v>
      </c>
      <c r="C22" s="41"/>
      <c r="D22" s="20" t="s">
        <v>65</v>
      </c>
    </row>
    <row r="23" spans="1:4" ht="14.25" customHeight="1">
      <c r="A23" s="29">
        <v>2</v>
      </c>
      <c r="B23" s="26" t="s">
        <v>78</v>
      </c>
      <c r="C23" s="41"/>
      <c r="D23" s="20" t="s">
        <v>65</v>
      </c>
    </row>
    <row r="24" spans="1:4" ht="14.25" customHeight="1">
      <c r="A24" s="29">
        <v>3</v>
      </c>
      <c r="B24" s="26" t="s">
        <v>79</v>
      </c>
      <c r="C24" s="20" t="s">
        <v>65</v>
      </c>
      <c r="D24" s="30"/>
    </row>
    <row r="25" spans="1:4" ht="14.25" customHeight="1">
      <c r="A25" s="29">
        <v>4</v>
      </c>
      <c r="B25" s="26" t="s">
        <v>80</v>
      </c>
      <c r="C25" s="20" t="s">
        <v>65</v>
      </c>
      <c r="D25" s="30"/>
    </row>
    <row r="26" spans="1:4" ht="14.25" customHeight="1">
      <c r="A26" s="18">
        <v>5</v>
      </c>
      <c r="B26" s="19" t="s">
        <v>81</v>
      </c>
      <c r="C26" s="41"/>
      <c r="D26" s="20" t="s">
        <v>65</v>
      </c>
    </row>
    <row r="27" spans="1:4" ht="14.25" customHeight="1">
      <c r="A27" s="59" t="s">
        <v>74</v>
      </c>
      <c r="B27" s="55"/>
      <c r="C27" s="21">
        <f>COUNTA('MODELO LISTA DE COMPROBACIO (2)'!$C$22:$C$26)</f>
        <v>2</v>
      </c>
      <c r="D27" s="21">
        <f>COUNTA('MODELO LISTA DE COMPROBACIO (2)'!$D$22:$D$26)</f>
        <v>3</v>
      </c>
    </row>
    <row r="28" spans="1:4" ht="14.25" customHeight="1">
      <c r="A28" s="59" t="s">
        <v>75</v>
      </c>
      <c r="B28" s="55"/>
      <c r="C28" s="22">
        <f t="shared" ref="C28:D28" si="1">C27/5</f>
        <v>0.4</v>
      </c>
      <c r="D28" s="22">
        <f t="shared" si="1"/>
        <v>0.6</v>
      </c>
    </row>
    <row r="29" spans="1:4" ht="14.25" customHeight="1">
      <c r="A29" s="43"/>
      <c r="B29" s="43"/>
      <c r="C29" s="22"/>
      <c r="D29" s="21"/>
    </row>
    <row r="30" spans="1:4" ht="14.25" customHeight="1">
      <c r="A30" s="63" t="s">
        <v>82</v>
      </c>
      <c r="B30" s="55"/>
      <c r="C30" s="55"/>
      <c r="D30" s="55"/>
    </row>
    <row r="31" spans="1:4" ht="14.25" customHeight="1">
      <c r="A31" s="32" t="s">
        <v>60</v>
      </c>
      <c r="B31" s="33" t="s">
        <v>61</v>
      </c>
      <c r="C31" s="34" t="s">
        <v>62</v>
      </c>
      <c r="D31" s="35" t="s">
        <v>63</v>
      </c>
    </row>
    <row r="32" spans="1:4" ht="14.25" customHeight="1">
      <c r="A32" s="29">
        <v>1</v>
      </c>
      <c r="B32" s="26" t="s">
        <v>83</v>
      </c>
      <c r="C32" s="20" t="s">
        <v>65</v>
      </c>
      <c r="D32" s="20"/>
    </row>
    <row r="33" spans="1:4" ht="14.25" customHeight="1">
      <c r="A33" s="29">
        <v>2</v>
      </c>
      <c r="B33" s="26" t="s">
        <v>84</v>
      </c>
      <c r="C33" s="20" t="s">
        <v>65</v>
      </c>
      <c r="D33" s="20"/>
    </row>
    <row r="34" spans="1:4" ht="14.25" customHeight="1">
      <c r="A34" s="18">
        <v>3</v>
      </c>
      <c r="B34" s="19" t="s">
        <v>85</v>
      </c>
      <c r="C34" s="20" t="s">
        <v>65</v>
      </c>
      <c r="D34" s="20"/>
    </row>
    <row r="35" spans="1:4" ht="14.25" customHeight="1">
      <c r="A35" s="59" t="s">
        <v>74</v>
      </c>
      <c r="B35" s="55"/>
      <c r="C35" s="6">
        <f>COUNTA('MODELO LISTA DE COMPROBACIO (2)'!$C$32:$C$34)</f>
        <v>3</v>
      </c>
      <c r="D35" s="6">
        <f>COUNTA('MODELO LISTA DE COMPROBACIO (2)'!$D$32:$D$34)</f>
        <v>0</v>
      </c>
    </row>
    <row r="36" spans="1:4" ht="14.25" customHeight="1">
      <c r="A36" s="59" t="s">
        <v>75</v>
      </c>
      <c r="B36" s="55"/>
      <c r="C36" s="22">
        <f t="shared" ref="C36:D36" si="2">C35/3</f>
        <v>1</v>
      </c>
      <c r="D36" s="22">
        <f t="shared" si="2"/>
        <v>0</v>
      </c>
    </row>
    <row r="37" spans="1:4" ht="14.25" customHeight="1">
      <c r="A37" s="41"/>
      <c r="B37" s="41"/>
      <c r="C37" s="41"/>
      <c r="D37" s="41"/>
    </row>
    <row r="38" spans="1:4" ht="14.25" customHeight="1">
      <c r="A38" s="41"/>
      <c r="B38" s="41"/>
      <c r="C38" s="41"/>
      <c r="D38" s="41"/>
    </row>
    <row r="39" spans="1:4" ht="14.25" customHeight="1">
      <c r="A39" s="41"/>
      <c r="B39" s="41"/>
      <c r="C39" s="41"/>
      <c r="D39" s="41"/>
    </row>
    <row r="40" spans="1:4" ht="14.25" customHeight="1">
      <c r="A40" s="64" t="s">
        <v>86</v>
      </c>
      <c r="B40" s="55"/>
      <c r="C40" s="55"/>
      <c r="D40" s="41"/>
    </row>
    <row r="41" spans="1:4" ht="30" customHeight="1">
      <c r="A41" s="41"/>
      <c r="B41" s="11" t="s">
        <v>87</v>
      </c>
      <c r="C41" s="24">
        <v>67</v>
      </c>
      <c r="D41" s="41"/>
    </row>
    <row r="42" spans="1:4" ht="30" customHeight="1">
      <c r="A42" s="41"/>
      <c r="B42" s="11" t="s">
        <v>76</v>
      </c>
      <c r="C42" s="24">
        <v>40</v>
      </c>
      <c r="D42" s="41"/>
    </row>
    <row r="43" spans="1:4" ht="30" customHeight="1">
      <c r="A43" s="41"/>
      <c r="B43" s="11" t="s">
        <v>82</v>
      </c>
      <c r="C43" s="24">
        <v>100</v>
      </c>
      <c r="D43" s="41"/>
    </row>
    <row r="44" spans="1:4" ht="14.25" customHeight="1">
      <c r="A44" s="41"/>
      <c r="B44" s="41"/>
      <c r="C44" s="21"/>
      <c r="D44" s="41"/>
    </row>
    <row r="45" spans="1:4" ht="14.25" customHeight="1">
      <c r="A45" s="41"/>
      <c r="B45" s="41"/>
      <c r="C45" s="21"/>
      <c r="D45" s="41"/>
    </row>
    <row r="46" spans="1:4" ht="14.25" customHeight="1">
      <c r="A46" s="41"/>
      <c r="B46" s="41"/>
      <c r="C46" s="41"/>
      <c r="D46" s="41"/>
    </row>
    <row r="47" spans="1:4" ht="14.25" customHeight="1">
      <c r="A47" s="41"/>
      <c r="B47" s="41"/>
      <c r="C47" s="41"/>
      <c r="D47" s="41"/>
    </row>
    <row r="48" spans="1:4" ht="14.25" customHeight="1">
      <c r="A48" s="41"/>
      <c r="B48" s="41"/>
      <c r="C48" s="41"/>
      <c r="D48" s="41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A17:B17"/>
    <mergeCell ref="C1:D1"/>
    <mergeCell ref="C2:D2"/>
    <mergeCell ref="C3:D3"/>
    <mergeCell ref="C4:D4"/>
    <mergeCell ref="A6:D6"/>
  </mergeCells>
  <conditionalFormatting sqref="A32:D34">
    <cfRule type="containsText" dxfId="21" priority="1" operator="containsText" text="X">
      <formula>NOT(ISERROR(SEARCH(("X"),(A32))))</formula>
    </cfRule>
  </conditionalFormatting>
  <conditionalFormatting sqref="C32:D34 C8:D8 D22:D23 C24:D25 D26 C11:D16 D9:D10">
    <cfRule type="containsText" dxfId="20" priority="2" operator="containsText" text="X">
      <formula>NOT(ISERROR(SEARCH(("X"),(C8))))</formula>
    </cfRule>
  </conditionalFormatting>
  <conditionalFormatting sqref="C32:D34 C8:D8 D22:D23 C24:D25 D26 C11:D16 D9:D10">
    <cfRule type="containsText" dxfId="19" priority="3" operator="containsText" text="X">
      <formula>NOT(ISERROR(SEARCH(("X"),(C8))))</formula>
    </cfRule>
  </conditionalFormatting>
  <conditionalFormatting sqref="C32:D34 C8:D8 D22:D23 C24:C25 D26 C11:D16 D9:D10">
    <cfRule type="containsText" dxfId="18" priority="4" operator="containsText" text="X">
      <formula>NOT(ISERROR(SEARCH(("X"),(C8))))</formula>
    </cfRule>
  </conditionalFormatting>
  <conditionalFormatting sqref="C32:D34 C8:D8 D22:D23 C24:C25 D26 C11:D16 D9:D10">
    <cfRule type="containsText" dxfId="17" priority="5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" workbookViewId="0">
      <selection activeCell="C41" sqref="C41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>
      <c r="A1" s="11"/>
      <c r="B1" s="12" t="s">
        <v>1</v>
      </c>
      <c r="C1" s="60" t="s">
        <v>89</v>
      </c>
      <c r="D1" s="55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41"/>
      <c r="B2" s="13" t="s">
        <v>54</v>
      </c>
      <c r="C2" s="61">
        <v>46126</v>
      </c>
      <c r="D2" s="55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4.25" customHeight="1">
      <c r="A3" s="41"/>
      <c r="B3" s="13" t="s">
        <v>55</v>
      </c>
      <c r="C3" s="62" t="s">
        <v>90</v>
      </c>
      <c r="D3" s="55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4.25" customHeight="1">
      <c r="A4" s="41"/>
      <c r="B4" s="13" t="s">
        <v>57</v>
      </c>
      <c r="C4" s="62" t="s">
        <v>8</v>
      </c>
      <c r="D4" s="55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4.2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4.25" customHeight="1">
      <c r="A6" s="63" t="s">
        <v>59</v>
      </c>
      <c r="B6" s="55"/>
      <c r="C6" s="55"/>
      <c r="D6" s="55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5" customHeight="1">
      <c r="A7" s="14" t="s">
        <v>60</v>
      </c>
      <c r="B7" s="15" t="s">
        <v>61</v>
      </c>
      <c r="C7" s="15" t="s">
        <v>62</v>
      </c>
      <c r="D7" s="16" t="s">
        <v>63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4.25" customHeight="1">
      <c r="A8" s="29">
        <v>1</v>
      </c>
      <c r="B8" s="26" t="s">
        <v>64</v>
      </c>
      <c r="C8" s="17" t="s">
        <v>65</v>
      </c>
      <c r="D8" s="30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4.25" customHeight="1">
      <c r="A9" s="29">
        <v>2</v>
      </c>
      <c r="B9" s="26" t="s">
        <v>66</v>
      </c>
      <c r="C9" s="17"/>
      <c r="D9" s="30" t="s">
        <v>91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4.25" customHeight="1">
      <c r="A10" s="29">
        <v>3</v>
      </c>
      <c r="B10" s="26" t="s">
        <v>67</v>
      </c>
      <c r="C10" s="17" t="s">
        <v>65</v>
      </c>
      <c r="D10" s="30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4.25" customHeight="1">
      <c r="A11" s="29">
        <v>4</v>
      </c>
      <c r="B11" s="26" t="s">
        <v>68</v>
      </c>
      <c r="C11" s="17" t="s">
        <v>65</v>
      </c>
      <c r="D11" s="30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4.25" customHeight="1">
      <c r="A12" s="29">
        <v>5</v>
      </c>
      <c r="B12" s="26" t="s">
        <v>69</v>
      </c>
      <c r="C12" s="17" t="s">
        <v>65</v>
      </c>
      <c r="D12" s="3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4.25" customHeight="1">
      <c r="A13" s="29">
        <v>6</v>
      </c>
      <c r="B13" s="26" t="s">
        <v>70</v>
      </c>
      <c r="C13" s="17" t="s">
        <v>65</v>
      </c>
      <c r="D13" s="30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4.25" customHeight="1">
      <c r="A14" s="29">
        <v>7</v>
      </c>
      <c r="B14" s="26" t="s">
        <v>71</v>
      </c>
      <c r="C14" s="17" t="s">
        <v>65</v>
      </c>
      <c r="D14" s="3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4.25" customHeight="1">
      <c r="A15" s="29">
        <v>8</v>
      </c>
      <c r="B15" s="26" t="s">
        <v>72</v>
      </c>
      <c r="C15" s="17" t="s">
        <v>65</v>
      </c>
      <c r="D15" s="3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4.25" customHeight="1">
      <c r="A16" s="18">
        <v>9</v>
      </c>
      <c r="B16" s="19" t="s">
        <v>73</v>
      </c>
      <c r="C16" s="20"/>
      <c r="D16" s="20" t="s">
        <v>65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4" ht="14.25" customHeight="1">
      <c r="A17" s="59" t="s">
        <v>74</v>
      </c>
      <c r="B17" s="55"/>
      <c r="C17" s="21">
        <f>COUNTA('MODELO LISTA DE COMPROBACION - '!$C$8:$C$16)</f>
        <v>7</v>
      </c>
      <c r="D17" s="21">
        <f>COUNTA('MODELO LISTA DE COMPROBACION - '!$D$8:$D$16)</f>
        <v>2</v>
      </c>
    </row>
    <row r="18" spans="1:4" ht="14.25" customHeight="1">
      <c r="A18" s="59" t="s">
        <v>75</v>
      </c>
      <c r="B18" s="55"/>
      <c r="C18" s="22">
        <f t="shared" ref="C18:D18" si="0">C17/9</f>
        <v>0.77777777777777779</v>
      </c>
      <c r="D18" s="22">
        <f t="shared" si="0"/>
        <v>0.22222222222222221</v>
      </c>
    </row>
    <row r="19" spans="1:4" ht="14.25" customHeight="1">
      <c r="A19" s="43"/>
      <c r="B19" s="43"/>
      <c r="C19" s="22"/>
      <c r="D19" s="21"/>
    </row>
    <row r="20" spans="1:4" ht="14.25" customHeight="1">
      <c r="A20" s="65" t="s">
        <v>76</v>
      </c>
      <c r="B20" s="66"/>
      <c r="C20" s="66"/>
      <c r="D20" s="66"/>
    </row>
    <row r="21" spans="1:4" ht="14.25" customHeight="1">
      <c r="A21" s="32" t="s">
        <v>60</v>
      </c>
      <c r="B21" s="33" t="s">
        <v>61</v>
      </c>
      <c r="C21" s="34" t="s">
        <v>62</v>
      </c>
      <c r="D21" s="35" t="s">
        <v>63</v>
      </c>
    </row>
    <row r="22" spans="1:4" ht="14.25" customHeight="1">
      <c r="A22" s="29">
        <v>1</v>
      </c>
      <c r="B22" s="26" t="s">
        <v>77</v>
      </c>
      <c r="C22" s="30"/>
      <c r="D22" s="20" t="s">
        <v>65</v>
      </c>
    </row>
    <row r="23" spans="1:4" ht="14.25" customHeight="1">
      <c r="A23" s="29">
        <v>2</v>
      </c>
      <c r="B23" s="26" t="s">
        <v>78</v>
      </c>
      <c r="C23" s="30"/>
      <c r="D23" s="20" t="s">
        <v>65</v>
      </c>
    </row>
    <row r="24" spans="1:4" ht="14.25" customHeight="1">
      <c r="A24" s="29">
        <v>3</v>
      </c>
      <c r="B24" s="26" t="s">
        <v>79</v>
      </c>
      <c r="C24" s="20" t="s">
        <v>65</v>
      </c>
      <c r="D24" s="30"/>
    </row>
    <row r="25" spans="1:4" ht="14.25" customHeight="1">
      <c r="A25" s="29">
        <v>4</v>
      </c>
      <c r="B25" s="26" t="s">
        <v>80</v>
      </c>
      <c r="C25" s="20" t="s">
        <v>65</v>
      </c>
      <c r="D25" s="30"/>
    </row>
    <row r="26" spans="1:4" ht="14.25" customHeight="1">
      <c r="A26" s="18">
        <v>5</v>
      </c>
      <c r="B26" s="19" t="s">
        <v>81</v>
      </c>
      <c r="C26" s="20" t="s">
        <v>65</v>
      </c>
      <c r="D26" s="23"/>
    </row>
    <row r="27" spans="1:4" ht="14.25" customHeight="1">
      <c r="A27" s="59" t="s">
        <v>74</v>
      </c>
      <c r="B27" s="55"/>
      <c r="C27" s="21">
        <f>COUNTA('MODELO LISTA DE COMPROBACION - '!$C$22:$C$26)</f>
        <v>3</v>
      </c>
      <c r="D27" s="21">
        <f>COUNTA('MODELO LISTA DE COMPROBACION - '!$D$22:$D$26)</f>
        <v>2</v>
      </c>
    </row>
    <row r="28" spans="1:4" ht="14.25" customHeight="1">
      <c r="A28" s="59" t="s">
        <v>75</v>
      </c>
      <c r="B28" s="55"/>
      <c r="C28" s="22">
        <f t="shared" ref="C28:D28" si="1">C27/5</f>
        <v>0.6</v>
      </c>
      <c r="D28" s="22">
        <f t="shared" si="1"/>
        <v>0.4</v>
      </c>
    </row>
    <row r="29" spans="1:4" ht="14.25" customHeight="1">
      <c r="A29" s="43"/>
      <c r="B29" s="43"/>
      <c r="C29" s="22"/>
      <c r="D29" s="21"/>
    </row>
    <row r="30" spans="1:4" ht="14.25" customHeight="1">
      <c r="A30" s="63" t="s">
        <v>82</v>
      </c>
      <c r="B30" s="55"/>
      <c r="C30" s="55"/>
      <c r="D30" s="55"/>
    </row>
    <row r="31" spans="1:4" ht="14.25" customHeight="1">
      <c r="A31" s="32" t="s">
        <v>60</v>
      </c>
      <c r="B31" s="33" t="s">
        <v>61</v>
      </c>
      <c r="C31" s="34" t="s">
        <v>62</v>
      </c>
      <c r="D31" s="35" t="s">
        <v>63</v>
      </c>
    </row>
    <row r="32" spans="1:4" ht="14.25" customHeight="1">
      <c r="A32" s="29">
        <v>1</v>
      </c>
      <c r="B32" s="26" t="s">
        <v>83</v>
      </c>
      <c r="C32" s="20" t="s">
        <v>65</v>
      </c>
      <c r="D32" s="20"/>
    </row>
    <row r="33" spans="1:4" ht="14.25" customHeight="1">
      <c r="A33" s="29">
        <v>2</v>
      </c>
      <c r="B33" s="26" t="s">
        <v>84</v>
      </c>
      <c r="C33" s="20" t="s">
        <v>65</v>
      </c>
      <c r="D33" s="20"/>
    </row>
    <row r="34" spans="1:4" ht="14.25" customHeight="1">
      <c r="A34" s="18">
        <v>3</v>
      </c>
      <c r="B34" s="19" t="s">
        <v>85</v>
      </c>
      <c r="C34" s="20" t="s">
        <v>65</v>
      </c>
      <c r="D34" s="20"/>
    </row>
    <row r="35" spans="1:4" ht="14.25" customHeight="1">
      <c r="A35" s="59" t="s">
        <v>74</v>
      </c>
      <c r="B35" s="55"/>
      <c r="C35" s="6">
        <f>COUNTA('MODELO LISTA DE COMPROBACION - '!$C$32:$C$34)</f>
        <v>3</v>
      </c>
      <c r="D35" s="6">
        <f>COUNTA('MODELO LISTA DE COMPROBACION - '!$D$32:$D$34)</f>
        <v>0</v>
      </c>
    </row>
    <row r="36" spans="1:4" ht="14.25" customHeight="1">
      <c r="A36" s="59" t="s">
        <v>75</v>
      </c>
      <c r="B36" s="55"/>
      <c r="C36" s="22">
        <f t="shared" ref="C36:D36" si="2">C35/3</f>
        <v>1</v>
      </c>
      <c r="D36" s="22">
        <f t="shared" si="2"/>
        <v>0</v>
      </c>
    </row>
    <row r="37" spans="1:4" ht="14.25" customHeight="1">
      <c r="A37" s="41"/>
      <c r="B37" s="41"/>
      <c r="C37" s="41"/>
      <c r="D37" s="41"/>
    </row>
    <row r="38" spans="1:4" ht="14.25" customHeight="1">
      <c r="A38" s="41"/>
      <c r="B38" s="41"/>
      <c r="C38" s="41"/>
      <c r="D38" s="41"/>
    </row>
    <row r="39" spans="1:4" ht="14.25" customHeight="1">
      <c r="A39" s="41"/>
      <c r="B39" s="41"/>
      <c r="C39" s="41"/>
      <c r="D39" s="41"/>
    </row>
    <row r="40" spans="1:4" ht="14.25" customHeight="1">
      <c r="A40" s="64" t="s">
        <v>86</v>
      </c>
      <c r="B40" s="55"/>
      <c r="C40" s="55"/>
      <c r="D40" s="41"/>
    </row>
    <row r="41" spans="1:4" ht="30" customHeight="1">
      <c r="A41" s="41"/>
      <c r="B41" s="11" t="s">
        <v>87</v>
      </c>
      <c r="C41" s="24">
        <v>89</v>
      </c>
      <c r="D41" s="41"/>
    </row>
    <row r="42" spans="1:4" ht="30" customHeight="1">
      <c r="A42" s="41"/>
      <c r="B42" s="11" t="s">
        <v>76</v>
      </c>
      <c r="C42" s="24">
        <v>100</v>
      </c>
      <c r="D42" s="41"/>
    </row>
    <row r="43" spans="1:4" ht="30" customHeight="1">
      <c r="A43" s="41"/>
      <c r="B43" s="11" t="s">
        <v>82</v>
      </c>
      <c r="C43" s="24">
        <v>100</v>
      </c>
      <c r="D43" s="41"/>
    </row>
    <row r="44" spans="1:4" ht="14.25" customHeight="1">
      <c r="A44" s="41"/>
      <c r="B44" s="41"/>
      <c r="C44" s="21"/>
      <c r="D44" s="41"/>
    </row>
    <row r="45" spans="1:4" ht="14.25" customHeight="1">
      <c r="A45" s="41"/>
      <c r="B45" s="41"/>
      <c r="C45" s="21"/>
      <c r="D45" s="41"/>
    </row>
    <row r="46" spans="1:4" ht="14.25" customHeight="1">
      <c r="A46" s="41"/>
      <c r="B46" s="41"/>
      <c r="C46" s="41"/>
      <c r="D46" s="41"/>
    </row>
    <row r="47" spans="1:4" ht="14.25" customHeight="1">
      <c r="A47" s="41"/>
      <c r="B47" s="41"/>
      <c r="C47" s="41"/>
      <c r="D47" s="41"/>
    </row>
    <row r="48" spans="1:4" ht="14.25" customHeight="1">
      <c r="A48" s="41"/>
      <c r="B48" s="41"/>
      <c r="C48" s="41"/>
      <c r="D48" s="41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15" priority="9" operator="containsText" text="X">
      <formula>NOT(ISERROR(SEARCH(("X"),(A32))))</formula>
    </cfRule>
  </conditionalFormatting>
  <conditionalFormatting sqref="C8:D16 C22:C26 C32:D34">
    <cfRule type="containsText" dxfId="14" priority="10" operator="containsText" text="X">
      <formula>NOT(ISERROR(SEARCH(("X"),(C8))))</formula>
    </cfRule>
  </conditionalFormatting>
  <conditionalFormatting sqref="C8:D16 C22:C26 C32:D34">
    <cfRule type="containsText" dxfId="13" priority="11" operator="containsText" text="X">
      <formula>NOT(ISERROR(SEARCH(("X"),(C8))))</formula>
    </cfRule>
  </conditionalFormatting>
  <conditionalFormatting sqref="C8:D16 C22:C26 C32:D34">
    <cfRule type="containsText" dxfId="12" priority="12" operator="containsText" text="X">
      <formula>NOT(ISERROR(SEARCH(("X"),(C8))))</formula>
    </cfRule>
  </conditionalFormatting>
  <conditionalFormatting sqref="C8:D16 C22:C26 C32:D34">
    <cfRule type="containsText" dxfId="11" priority="13" operator="containsText" text="X">
      <formula>NOT(ISERROR(SEARCH(("X"),(C8))))</formula>
    </cfRule>
  </conditionalFormatting>
  <conditionalFormatting sqref="C22:D26">
    <cfRule type="containsText" dxfId="10" priority="14" operator="containsText" text="X">
      <formula>NOT(ISERROR(SEARCH(("X"),(C22))))</formula>
    </cfRule>
  </conditionalFormatting>
  <conditionalFormatting sqref="C22:D26">
    <cfRule type="containsText" dxfId="9" priority="15" operator="containsText" text="X">
      <formula>NOT(ISERROR(SEARCH(("X"),(C22))))</formula>
    </cfRule>
  </conditionalFormatting>
  <conditionalFormatting sqref="C32:D34">
    <cfRule type="containsText" dxfId="8" priority="16" operator="containsText" text="X">
      <formula>NOT(ISERROR(SEARCH(("X"),(C32))))</formula>
    </cfRule>
  </conditionalFormatting>
  <conditionalFormatting sqref="D22">
    <cfRule type="containsText" dxfId="7" priority="5" operator="containsText" text="X">
      <formula>NOT(ISERROR(SEARCH(("X"),(D22))))</formula>
    </cfRule>
  </conditionalFormatting>
  <conditionalFormatting sqref="D22">
    <cfRule type="containsText" dxfId="6" priority="6" operator="containsText" text="X">
      <formula>NOT(ISERROR(SEARCH(("X"),(D22))))</formula>
    </cfRule>
  </conditionalFormatting>
  <conditionalFormatting sqref="D22">
    <cfRule type="containsText" dxfId="5" priority="7" operator="containsText" text="X">
      <formula>NOT(ISERROR(SEARCH(("X"),(D22))))</formula>
    </cfRule>
  </conditionalFormatting>
  <conditionalFormatting sqref="D22">
    <cfRule type="containsText" dxfId="4" priority="8" operator="containsText" text="X">
      <formula>NOT(ISERROR(SEARCH(("X"),(D22))))</formula>
    </cfRule>
  </conditionalFormatting>
  <conditionalFormatting sqref="D23">
    <cfRule type="containsText" dxfId="3" priority="1" operator="containsText" text="X">
      <formula>NOT(ISERROR(SEARCH(("X"),(D23))))</formula>
    </cfRule>
  </conditionalFormatting>
  <conditionalFormatting sqref="D23">
    <cfRule type="containsText" dxfId="2" priority="2" operator="containsText" text="X">
      <formula>NOT(ISERROR(SEARCH(("X"),(D23))))</formula>
    </cfRule>
  </conditionalFormatting>
  <conditionalFormatting sqref="D23">
    <cfRule type="containsText" dxfId="1" priority="3" operator="containsText" text="X">
      <formula>NOT(ISERROR(SEARCH(("X"),(D23))))</formula>
    </cfRule>
  </conditionalFormatting>
  <conditionalFormatting sqref="D23">
    <cfRule type="containsText" dxfId="0" priority="4" operator="containsText" text="X">
      <formula>NOT(ISERROR(SEARCH(("X"),(D23))))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5551-DEDC-4C10-8482-86F5FDF4958A}">
  <dimension ref="A1:B998"/>
  <sheetViews>
    <sheetView workbookViewId="0">
      <selection activeCell="B13" sqref="B13"/>
    </sheetView>
  </sheetViews>
  <sheetFormatPr defaultColWidth="14.42578125" defaultRowHeight="15" customHeight="1"/>
  <cols>
    <col min="1" max="1" width="53.140625" style="28" customWidth="1"/>
    <col min="2" max="2" width="57.28515625" style="28" customWidth="1"/>
    <col min="3" max="26" width="10.7109375" style="28" customWidth="1"/>
    <col min="27" max="16384" width="14.42578125" style="28"/>
  </cols>
  <sheetData>
    <row r="1" spans="1:2" ht="14.25" customHeight="1">
      <c r="A1" s="25" t="s">
        <v>92</v>
      </c>
      <c r="B1" s="25" t="s">
        <v>93</v>
      </c>
    </row>
    <row r="2" spans="1:2" ht="14.25" customHeight="1">
      <c r="A2" s="26" t="s">
        <v>94</v>
      </c>
      <c r="B2" s="26" t="s">
        <v>95</v>
      </c>
    </row>
    <row r="3" spans="1:2" ht="14.25" customHeight="1">
      <c r="A3" s="26" t="s">
        <v>96</v>
      </c>
      <c r="B3" s="26" t="s">
        <v>97</v>
      </c>
    </row>
    <row r="4" spans="1:2" ht="14.25" customHeight="1">
      <c r="A4" s="44" t="s">
        <v>98</v>
      </c>
      <c r="B4" s="44" t="s">
        <v>99</v>
      </c>
    </row>
    <row r="5" spans="1:2" ht="14.25" customHeight="1">
      <c r="A5" s="44" t="s">
        <v>100</v>
      </c>
      <c r="B5" s="44" t="s">
        <v>101</v>
      </c>
    </row>
    <row r="6" spans="1:2" ht="14.25" customHeight="1">
      <c r="A6" s="41"/>
      <c r="B6" s="41"/>
    </row>
    <row r="7" spans="1:2" ht="14.25" customHeight="1">
      <c r="A7" s="41"/>
      <c r="B7" s="41"/>
    </row>
    <row r="8" spans="1:2" ht="14.25" customHeight="1">
      <c r="A8" s="41"/>
      <c r="B8" s="41"/>
    </row>
    <row r="9" spans="1:2" ht="14.25" customHeight="1">
      <c r="A9" s="41"/>
      <c r="B9" s="41"/>
    </row>
    <row r="10" spans="1:2" ht="14.25" customHeight="1">
      <c r="A10" s="41"/>
      <c r="B10" s="41"/>
    </row>
    <row r="11" spans="1:2" ht="14.25" customHeight="1">
      <c r="A11" s="41"/>
      <c r="B11" s="41"/>
    </row>
    <row r="12" spans="1:2" ht="14.25" customHeight="1">
      <c r="A12" s="41"/>
      <c r="B12" s="41"/>
    </row>
    <row r="13" spans="1:2" ht="14.25" customHeight="1">
      <c r="A13" s="41"/>
      <c r="B13" s="41"/>
    </row>
    <row r="14" spans="1:2" ht="14.25" customHeight="1">
      <c r="A14" s="41"/>
      <c r="B14" s="41"/>
    </row>
    <row r="15" spans="1:2" ht="14.25" customHeight="1">
      <c r="A15" s="41"/>
      <c r="B15" s="41"/>
    </row>
    <row r="16" spans="1:2" ht="14.25" customHeight="1">
      <c r="A16" s="41"/>
      <c r="B16" s="41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7053-06F2-4566-B95F-C786443186EC}">
  <dimension ref="A1:B998"/>
  <sheetViews>
    <sheetView workbookViewId="0">
      <selection activeCell="A8" sqref="A8"/>
    </sheetView>
  </sheetViews>
  <sheetFormatPr defaultColWidth="14.42578125" defaultRowHeight="15" customHeight="1"/>
  <cols>
    <col min="1" max="1" width="53.140625" style="28" customWidth="1"/>
    <col min="2" max="2" width="57.28515625" style="28" customWidth="1"/>
    <col min="3" max="26" width="10.7109375" style="28" customWidth="1"/>
    <col min="27" max="16384" width="14.42578125" style="28"/>
  </cols>
  <sheetData>
    <row r="1" spans="1:2" ht="14.25" customHeight="1">
      <c r="A1" s="25" t="s">
        <v>92</v>
      </c>
      <c r="B1" s="25" t="s">
        <v>93</v>
      </c>
    </row>
    <row r="2" spans="1:2" ht="14.25" customHeight="1">
      <c r="A2" s="26" t="s">
        <v>94</v>
      </c>
      <c r="B2" s="26" t="s">
        <v>95</v>
      </c>
    </row>
    <row r="3" spans="1:2" ht="14.25" customHeight="1">
      <c r="A3" s="19" t="s">
        <v>96</v>
      </c>
      <c r="B3" s="19" t="s">
        <v>97</v>
      </c>
    </row>
    <row r="4" spans="1:2" ht="14.25" customHeight="1">
      <c r="A4" s="37" t="s">
        <v>102</v>
      </c>
      <c r="B4" s="38" t="s">
        <v>103</v>
      </c>
    </row>
    <row r="5" spans="1:2" ht="14.25" customHeight="1">
      <c r="A5" s="38" t="s">
        <v>104</v>
      </c>
      <c r="B5" s="38" t="s">
        <v>105</v>
      </c>
    </row>
    <row r="6" spans="1:2" ht="14.25" customHeight="1">
      <c r="A6" s="36" t="s">
        <v>106</v>
      </c>
      <c r="B6" s="36" t="s">
        <v>107</v>
      </c>
    </row>
    <row r="7" spans="1:2" ht="14.25" customHeight="1">
      <c r="A7" s="41"/>
      <c r="B7" s="41"/>
    </row>
    <row r="8" spans="1:2" ht="14.25" customHeight="1">
      <c r="A8" s="41"/>
      <c r="B8" s="41"/>
    </row>
    <row r="9" spans="1:2" ht="14.25" customHeight="1">
      <c r="A9" s="41"/>
      <c r="B9" s="41"/>
    </row>
    <row r="10" spans="1:2" ht="14.25" customHeight="1">
      <c r="A10" s="41"/>
      <c r="B10" s="41"/>
    </row>
    <row r="11" spans="1:2" ht="14.25" customHeight="1">
      <c r="A11" s="41"/>
      <c r="B11" s="41"/>
    </row>
    <row r="12" spans="1:2" ht="14.25" customHeight="1">
      <c r="A12" s="41"/>
      <c r="B12" s="41"/>
    </row>
    <row r="13" spans="1:2" ht="14.25" customHeight="1">
      <c r="A13" s="41"/>
      <c r="B13" s="41"/>
    </row>
    <row r="14" spans="1:2" ht="14.25" customHeight="1">
      <c r="A14" s="41"/>
      <c r="B14" s="41"/>
    </row>
    <row r="15" spans="1:2" ht="14.25" customHeight="1">
      <c r="A15" s="41"/>
      <c r="B15" s="41"/>
    </row>
    <row r="16" spans="1:2" ht="14.25" customHeight="1">
      <c r="A16" s="41"/>
      <c r="B16" s="41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activeCell="A3" sqref="A3"/>
    </sheetView>
  </sheetViews>
  <sheetFormatPr defaultColWidth="14.42578125" defaultRowHeight="15" customHeight="1"/>
  <cols>
    <col min="1" max="1" width="53.140625" customWidth="1"/>
    <col min="2" max="2" width="57.28515625" customWidth="1"/>
    <col min="3" max="26" width="10.7109375" customWidth="1"/>
  </cols>
  <sheetData>
    <row r="1" spans="1:2" ht="14.25" customHeight="1">
      <c r="A1" s="25" t="s">
        <v>92</v>
      </c>
      <c r="B1" s="25" t="s">
        <v>93</v>
      </c>
    </row>
    <row r="2" spans="1:2" ht="14.25" customHeight="1">
      <c r="A2" s="26" t="s">
        <v>94</v>
      </c>
      <c r="B2" s="26" t="s">
        <v>95</v>
      </c>
    </row>
    <row r="3" spans="1:2" ht="14.25" customHeight="1">
      <c r="A3" s="27" t="s">
        <v>96</v>
      </c>
      <c r="B3" s="26" t="s">
        <v>97</v>
      </c>
    </row>
    <row r="4" spans="1:2" ht="14.25" customHeight="1">
      <c r="A4" s="39" t="s">
        <v>108</v>
      </c>
      <c r="B4" s="41" t="s">
        <v>109</v>
      </c>
    </row>
    <row r="5" spans="1:2" ht="14.25" customHeight="1">
      <c r="A5" s="41"/>
      <c r="B5" s="41"/>
    </row>
    <row r="6" spans="1:2" ht="14.25" customHeight="1">
      <c r="A6" s="41"/>
      <c r="B6" s="41"/>
    </row>
    <row r="7" spans="1:2" ht="14.25" customHeight="1">
      <c r="A7" s="41"/>
      <c r="B7" s="41"/>
    </row>
    <row r="8" spans="1:2" ht="14.25" customHeight="1">
      <c r="A8" s="41"/>
      <c r="B8" s="41"/>
    </row>
    <row r="9" spans="1:2" ht="14.25" customHeight="1">
      <c r="A9" s="41"/>
      <c r="B9" s="41"/>
    </row>
    <row r="10" spans="1:2" ht="14.25" customHeight="1">
      <c r="A10" s="41"/>
      <c r="B10" s="41"/>
    </row>
    <row r="11" spans="1:2" ht="14.25" customHeight="1">
      <c r="A11" s="41"/>
      <c r="B11" s="41"/>
    </row>
    <row r="12" spans="1:2" ht="14.25" customHeight="1">
      <c r="A12" s="41"/>
      <c r="B12" s="41"/>
    </row>
    <row r="13" spans="1:2" ht="14.25" customHeight="1">
      <c r="A13" s="41"/>
      <c r="B13" s="41"/>
    </row>
    <row r="14" spans="1:2" ht="14.25" customHeight="1">
      <c r="A14" s="41"/>
      <c r="B14" s="41"/>
    </row>
    <row r="15" spans="1:2" ht="14.25" customHeight="1">
      <c r="A15" s="41"/>
      <c r="B15" s="41"/>
    </row>
    <row r="16" spans="1:2" ht="14.25" customHeight="1">
      <c r="A16" s="41"/>
      <c r="B16" s="41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/>
  <dcterms:created xsi:type="dcterms:W3CDTF">2026-04-14T13:46:44Z</dcterms:created>
  <dcterms:modified xsi:type="dcterms:W3CDTF">2026-04-14T21:41:21Z</dcterms:modified>
  <cp:category/>
  <cp:contentStatus/>
</cp:coreProperties>
</file>