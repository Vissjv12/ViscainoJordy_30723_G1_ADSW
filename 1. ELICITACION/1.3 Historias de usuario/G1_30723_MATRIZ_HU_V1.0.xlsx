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5"/>
    <sheet state="visible" name="Historia de Usuario" sheetId="2" r:id="rId6"/>
  </sheets>
  <definedNames/>
  <calcPr/>
</workbook>
</file>

<file path=xl/sharedStrings.xml><?xml version="1.0" encoding="utf-8"?>
<sst xmlns="http://schemas.openxmlformats.org/spreadsheetml/2006/main" count="327" uniqueCount="216">
  <si>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</si>
  <si>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</si>
  <si>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</si>
  <si>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</si>
  <si>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</si>
  <si>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</si>
  <si>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</si>
  <si>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</si>
  <si>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</si>
  <si>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</si>
  <si>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</si>
  <si>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</si>
  <si>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</si>
  <si>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</si>
  <si>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</si>
  <si>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RQF-001</t>
  </si>
  <si>
    <t>Acceso no autorizado o credenciales inválidas.</t>
  </si>
  <si>
    <t>Necesito iniciar sesión mediante correo y contraseña.</t>
  </si>
  <si>
    <t>Para acceder de forma segura a las funciones y datos de PaperBoost.</t>
  </si>
  <si>
    <t>Administrador</t>
  </si>
  <si>
    <t>Implementando una ventana de inicio de sesión que solicite correo y contraseña antes de acceder a las funciones del sistema, valide las credenciales con el servidor y muestre un mensaje de error cuando sean incorrectas.</t>
  </si>
  <si>
    <t>Viscaino Jordy</t>
  </si>
  <si>
    <t>Alta</t>
  </si>
  <si>
    <t>No iniciado</t>
  </si>
  <si>
    <t>Al ingresar credenciales válidas se muestra el panel principal. Si son incorrectas, se presenta un mensaje de error y no se permite el acceso.</t>
  </si>
  <si>
    <t>Relacionado con CUC-01.</t>
  </si>
  <si>
    <t>Validar credenciales de acceso</t>
  </si>
  <si>
    <t>RQF-002</t>
  </si>
  <si>
    <t>Las credenciales podrían ser interceptadas o expuestas durante su transmisión.</t>
  </si>
  <si>
    <t>Necesito que mis credenciales se manejen de forma cifrada.</t>
  </si>
  <si>
    <t>Para proteger la información de acceso durante su envío y procesamiento.</t>
  </si>
  <si>
    <t>Implementando el cifrado de las credenciales durante su transmisión y procesamiento, utilizando una conexión segura y evitando que la contraseña sea almacenada o enviada como texto plano.</t>
  </si>
  <si>
    <t>Se verifica que las credenciales no se transmitan ni almacenen en texto plano y que la comunicación con el servidor utilice un canal seguro.</t>
  </si>
  <si>
    <t>Relacionado con CUC-01 y RNF-S-001.</t>
  </si>
  <si>
    <t>Proteger credenciales del usuario</t>
  </si>
  <si>
    <t>RQF-003</t>
  </si>
  <si>
    <t>Los datos locales pueden quedar desactualizados o sin respaldo en la nube.</t>
  </si>
  <si>
    <t>Necesito que los datos se sincronicen automáticamente.</t>
  </si>
  <si>
    <t>Para mantener la información respaldada y actualizada entre el dispositivo y el servidor.</t>
  </si>
  <si>
    <t>Implementando un servicio de sincronización automática que envíe y reciba los datos entre la base local y el servidor al iniciar sesión y después de registrar, editar o vender productos.</t>
  </si>
  <si>
    <t>Lucas Gongora</t>
  </si>
  <si>
    <t>Media</t>
  </si>
  <si>
    <t>Al iniciar sesión o completar una operación importante, los cambios locales se reflejan en el servidor y se registra la última sincronización exitosa.</t>
  </si>
  <si>
    <t>Relacionado con CUC-02.</t>
  </si>
  <si>
    <t>Sincronizar datos automáticamente</t>
  </si>
  <si>
    <t>RQF-004</t>
  </si>
  <si>
    <t>La sincronización podría bloquear la aplicación y no mostrar su estado.</t>
  </si>
  <si>
    <t>Necesito continuar usando la aplicación mientras se sincronizan los datos.</t>
  </si>
  <si>
    <t>Para evitar interrupciones y conocer visualmente el progreso de la sincronización.</t>
  </si>
  <si>
    <t>Implementando la sincronización mediante procesos asíncronos en segundo plano, incorporando un indicador visual de progreso que no bloquee las demás funciones de la aplicación.</t>
  </si>
  <si>
    <t>Klever Jami</t>
  </si>
  <si>
    <t>Durante la sincronización se visualiza un indicador de progreso, la aplicación continúa disponible y el indicador desaparece al finalizar.</t>
  </si>
  <si>
    <t>Sincronización asíncrona con progreso</t>
  </si>
  <si>
    <t>RQF-005</t>
  </si>
  <si>
    <t>El registro manual de productos consume tiempo y puede generar errores.</t>
  </si>
  <si>
    <t>Necesito registrar productos mediante el escaneo de un código.</t>
  </si>
  <si>
    <t>Para agilizar el ingreso de productos y autocompletar su información.</t>
  </si>
  <si>
    <t>Implementando una pantalla de escaneo que active la cámara del dispositivo, lea códigos de barras o QR y consulte una API para completar automáticamente la información disponible del producto.</t>
  </si>
  <si>
    <t>Con permisos de cámara, el sistema reconoce un código válido y muestra la información obtenida desde la API para su revisión.</t>
  </si>
  <si>
    <t>Relacionado con CUC-03.</t>
  </si>
  <si>
    <t>Registrar producto por escaneo</t>
  </si>
  <si>
    <t>RQF-006</t>
  </si>
  <si>
    <t>Los datos recuperados por escaneo pueden estar incompletos y el producto debe quedar respaldado.</t>
  </si>
  <si>
    <t>Necesito completar y confirmar los datos antes de guardar el producto.</t>
  </si>
  <si>
    <t>Para registrar información correcta localmente y sincronizarla con la nube.</t>
  </si>
  <si>
    <t>Implementando un formulario de confirmación posterior al escaneo que permita completar precio y ubicación, validar los datos, guardar el producto localmente y enviarlo al servidor.</t>
  </si>
  <si>
    <t>El producto solo se registra después de confirmar los datos obligatorios; posteriormente aparece en el inventario local y se sincroniza con el servidor.</t>
  </si>
  <si>
    <t>Confirmar producto escaneado</t>
  </si>
  <si>
    <t>RQF-007</t>
  </si>
  <si>
    <t>No todos los productos disponen de un código que pueda ser consultado.</t>
  </si>
  <si>
    <t>Necesito registrar productos manualmente mediante un formulario.</t>
  </si>
  <si>
    <t>Para incorporar al inventario cualquier producto, incluso sin escaneo.</t>
  </si>
  <si>
    <t>Implementando un formulario de registro manual con campos obligatorios y opcionales para ingresar la información completa de un producto sin utilizar la cámara.</t>
  </si>
  <si>
    <t>El formulario permite ingresar la información del producto y, con datos válidos, el producto se incorpora al inventario.</t>
  </si>
  <si>
    <t>Relacionado con CUC-04.</t>
  </si>
  <si>
    <t>Registrar producto manualmente</t>
  </si>
  <si>
    <t>RQF-008</t>
  </si>
  <si>
    <t>Un producto podría guardarse con campos vacíos o con un SKU duplicado.</t>
  </si>
  <si>
    <t>Necesito validar los campos obligatorios y la unicidad del SKU.</t>
  </si>
  <si>
    <t>Para mantener registros completos y evitar productos duplicados.</t>
  </si>
  <si>
    <t>Implementando validaciones en el formulario de registro para comprobar los campos obligatorios y consultar si el SKU ya existe, mostrando mensajes específicos junto a cada campo con errores.</t>
  </si>
  <si>
    <t>Si un campo obligatorio está vacío o el SKU está repetido, el sistema no guarda el producto y señala el error correspondiente en el campo.</t>
  </si>
  <si>
    <t>Validar datos y SKU del producto</t>
  </si>
  <si>
    <t>RQF-009</t>
  </si>
  <si>
    <t>El registro manual de ventas y sus cálculos puede producir errores.</t>
  </si>
  <si>
    <t>Necesito crear una nota de venta agregando productos y cantidades.</t>
  </si>
  <si>
    <t>Para registrar la transacción y obtener automáticamente el subtotal y total.</t>
  </si>
  <si>
    <t>Implementando una pantalla de nota de venta que permita buscar y agregar productos, ingresar cantidades y calcular automáticamente el subtotal y el total de la transacción.</t>
  </si>
  <si>
    <t>La nota incluye los productos seleccionados, sus cantidades, el subtotal y el total calculados correctamente.</t>
  </si>
  <si>
    <t>Relacionado con CUC-05.</t>
  </si>
  <si>
    <t>Generar nota de venta</t>
  </si>
  <si>
    <t>RQF-010</t>
  </si>
  <si>
    <t>Una venta podría confirmarse con una cantidad superior al stock disponible.</t>
  </si>
  <si>
    <t>Necesito validar las existencias antes de confirmar una venta.</t>
  </si>
  <si>
    <t>Para impedir ventas que no puedan ser atendidas con el inventario actual.</t>
  </si>
  <si>
    <t>Implementando una validación previa a la confirmación de la venta que compare las cantidades solicitadas con el stock disponible, bloquee la operación y muestre un mensaje cuando las existencias sean insuficientes.</t>
  </si>
  <si>
    <t>Con stock suficiente la venta se completa; con stock insuficiente se muestra el mensaje correspondiente y no se registra la operación.</t>
  </si>
  <si>
    <t>Validar stock de la venta</t>
  </si>
  <si>
    <t>RQF-011</t>
  </si>
  <si>
    <t>El administrador necesita conocer las existencias y el estado actual de los productos.</t>
  </si>
  <si>
    <t>Necesito consultar una lista detallada del inventario.</t>
  </si>
  <si>
    <t>Para identificar cantidades disponibles y productos con stock bajo o agotado.</t>
  </si>
  <si>
    <t>Implementando una vista de inventario que consulte y muestre nombre, precio, cantidad, categoría, ubicación y estado de stock de cada producto, destacando los artículos con stock bajo o agotado.</t>
  </si>
  <si>
    <t>La lista presenta todos los campos definidos y destaca visualmente los productos con stock bajo o agotado.</t>
  </si>
  <si>
    <t>Relacionado con CUC-06.</t>
  </si>
  <si>
    <t>Consultar inventario de productos</t>
  </si>
  <si>
    <t>RQF-012</t>
  </si>
  <si>
    <t>Encontrar un producto en un inventario amplio puede tomar demasiado tiempo.</t>
  </si>
  <si>
    <t>Necesito buscar, filtrar y ordenar los productos.</t>
  </si>
  <si>
    <t>Para localizar y analizar rápidamente la información del inventario.</t>
  </si>
  <si>
    <t>Implementando herramientas de búsqueda por nombre o SKU, filtros por categoría y estado, y opciones de ordenamiento por nombre, precio o cantidad disponible.</t>
  </si>
  <si>
    <t>Los resultados cambian de acuerdo con el texto de búsqueda, filtro y criterio de orden seleccionados, sin mostrar productos que no coincidan.</t>
  </si>
  <si>
    <t>Buscar y filtrar inventario</t>
  </si>
  <si>
    <t>RQF-013</t>
  </si>
  <si>
    <t>La información de un producto puede cambiar después de su registro.</t>
  </si>
  <si>
    <t>Necesito editar los datos permitidos de un producto.</t>
  </si>
  <si>
    <t>Para mantener el inventario actualizado tanto localmente como en la nube.</t>
  </si>
  <si>
    <t>Implementando una pantalla de edición que cargue los datos del producto seleccionado, permita modificar los campos autorizados y actualice la información en la base local y en el servidor.</t>
  </si>
  <si>
    <t>Después de guardar, los nuevos datos aparecen en el inventario local y se sincronizan con el servidor.</t>
  </si>
  <si>
    <t>Relacionado con CUC-07.</t>
  </si>
  <si>
    <t>Editar información del producto</t>
  </si>
  <si>
    <t>RQF-014</t>
  </si>
  <si>
    <t>El usuario podría modificar datos por error y necesitar abandonar la edición.</t>
  </si>
  <si>
    <t>Necesito cancelar una edición antes de guardar.</t>
  </si>
  <si>
    <t>Para descartar cambios no deseados sin alterar el producto registrado.</t>
  </si>
  <si>
    <t>Implementando una opción de cancelación dentro de la pantalla de edición que cierre el formulario y descarte todas las modificaciones realizadas antes de guardar.</t>
  </si>
  <si>
    <t>Al cancelar, el producto conserva todos sus valores originales y no se envían cambios al servidor.</t>
  </si>
  <si>
    <t>Cancelar edición del producto</t>
  </si>
  <si>
    <t>RQF-015</t>
  </si>
  <si>
    <t>No todos los productos requieren el mismo nivel mínimo de existencias.</t>
  </si>
  <si>
    <t>Necesito configurar una cantidad mínima para cada producto.</t>
  </si>
  <si>
    <t>Para definir cuándo debe considerarse que un producto necesita reposición.</t>
  </si>
  <si>
    <t>Implementando un campo de configuración de stock mínimo para cada producto, validando que el valor ingresado sea numérico, entero y mayor que cero.</t>
  </si>
  <si>
    <t>El valor se guarda únicamente cuando es numérico y positivo; los valores inválidos generan un mensaje y no se registran.</t>
  </si>
  <si>
    <t>Relacionado con CUC-08.</t>
  </si>
  <si>
    <t>Configurar stock mínimo</t>
  </si>
  <si>
    <t>RQF-016</t>
  </si>
  <si>
    <t>Las alertas de stock deben adaptarse a las necesidades cambiantes del negocio.</t>
  </si>
  <si>
    <t>Necesito generar, editar o desactivar alertas de stock.</t>
  </si>
  <si>
    <t>Para controlar la reposición cuando las existencias alcancen el límite definido.</t>
  </si>
  <si>
    <t>Implementando la lógica de alertas que compare continuamente el stock actual con el mínimo configurado y permita crear, modificar o desactivar la alerta asociada al producto.</t>
  </si>
  <si>
    <t>La alerta aparece al alcanzar el umbral configurado, cambia cuando se modifica el valor y deja de generarse cuando se desactiva.</t>
  </si>
  <si>
    <t>Administrar alertas de stock</t>
  </si>
  <si>
    <t>RQF-017</t>
  </si>
  <si>
    <t>Al cambiar de dispositivo, el usuario podría perder acceso a su información local.</t>
  </si>
  <si>
    <t>Necesito recuperar los datos respaldados desde la nube.</t>
  </si>
  <si>
    <t>Para restaurar el inventario y continuar trabajando en un nuevo dispositivo.</t>
  </si>
  <si>
    <t>Implementando un proceso de restauración que, después de autenticar al usuario en un nuevo dispositivo, descargue desde la nube el inventario, las categorías, el historial de ventas y las preferencias.</t>
  </si>
  <si>
    <t>Después de la restauración, el nuevo dispositivo muestra los mismos datos respaldados en la cuenta del administrador.</t>
  </si>
  <si>
    <t>Relacionado con CUC-09.</t>
  </si>
  <si>
    <t>Recuperar datos desde la nube</t>
  </si>
  <si>
    <t>RQF-018</t>
  </si>
  <si>
    <t>Una restauración extensa puede fallar por problemas de conexión sin informar al usuario.</t>
  </si>
  <si>
    <t>Necesito visualizar el progreso y disponer de reintentos durante la restauración.</t>
  </si>
  <si>
    <t>Para completar la recuperación de datos aun cuando existan interrupciones temporales.</t>
  </si>
  <si>
    <t>Implementando una pantalla de progreso para la restauración de datos, con control de errores de conexión y opciones para reintentar o continuar la descarga interrumpida.</t>
  </si>
  <si>
    <t>Se muestra un indicador de progreso; ante una interrupción, la restauración no se marca como completa y puede reanudarse o reintentarse.</t>
  </si>
  <si>
    <t>Restaurar datos con progreso y reintentos</t>
  </si>
  <si>
    <t>RQF-019</t>
  </si>
  <si>
    <t>El administrador necesita revisar las transacciones realizadas anteriormente.</t>
  </si>
  <si>
    <t>Necesito consultar el historial de ventas.</t>
  </si>
  <si>
    <t>Para conocer las ventas registradas y dar seguimiento a las operaciones del negocio.</t>
  </si>
  <si>
    <t>Implementando una vista de historial que consulte las ventas almacenadas y las presente ordenadas desde la más reciente, mostrando los datos principales de cada transacción.</t>
  </si>
  <si>
    <t>El historial muestra las ventas existentes, ordenadas de la más reciente a la más antigua, con la información mínima definida.</t>
  </si>
  <si>
    <t>Relacionado con CUC-10.</t>
  </si>
  <si>
    <t>Consultar historial de ventas</t>
  </si>
  <si>
    <t>RQF-020</t>
  </si>
  <si>
    <t>Localizar una venta específica o conocer sus productos puede ser difícil en un historial amplio.</t>
  </si>
  <si>
    <t>Necesito filtrar, buscar y abrir el detalle de una venta.</t>
  </si>
  <si>
    <t>Para encontrar transacciones específicas y revisar los productos y totales registrados.</t>
  </si>
  <si>
    <t>Implementando filtros por fecha y monto, búsqueda por número de venta y una pantalla de detalle que muestre los productos vendidos, cantidades, subtotales y total de la transacción.</t>
  </si>
  <si>
    <t>Los filtros y la búsqueda muestran únicamente las ventas coincidentes; el detalle presenta productos vendidos, cantidades y totales.</t>
  </si>
  <si>
    <t>Buscar y consultar detalle de venta</t>
  </si>
  <si>
    <t>RQF-021</t>
  </si>
  <si>
    <t>Los productos críticos pueden pasar desapercibidos hasta quedar agotados.</t>
  </si>
  <si>
    <t>Necesito identificar los productos por debajo del stock mínimo.</t>
  </si>
  <si>
    <t>Para priorizar la reposición de los artículos con mayor urgencia.</t>
  </si>
  <si>
    <t>Implementando un panel de inventario crítico que detecte los productos cuya cantidad sea menor o igual al stock mínimo y los ordene de acuerdo con su nivel de prioridad.</t>
  </si>
  <si>
    <t>Todo producto cuya cantidad sea menor o igual al mínimo aparece en el panel y los elementos más urgentes se muestran primero.</t>
  </si>
  <si>
    <t>Relacionado con CUC-11.</t>
  </si>
  <si>
    <t>Visualizar inventario crítico</t>
  </si>
  <si>
    <t>RQF-022</t>
  </si>
  <si>
    <t>El administrador podría no revisar el panel justo cuando un producto alcanza el mínimo.</t>
  </si>
  <si>
    <t>Necesito recibir notificaciones de las alertas de stock.</t>
  </si>
  <si>
    <t>Para conocer oportunamente qué productos requieren reposición.</t>
  </si>
  <si>
    <t>Implementando notificaciones internas y notificaciones del sistema operativo que se generen automáticamente cuando un producto alcance o quede por debajo del stock mínimo configurado.</t>
  </si>
  <si>
    <t>Al alcanzar el umbral se genera una notificación interna y una notificación del sistema operativo con la identificación del producto.</t>
  </si>
  <si>
    <t>Notificar alertas de stock</t>
  </si>
  <si>
    <t>RQF-023</t>
  </si>
  <si>
    <t>Los productos que ya no se comercializan no deben utilizarse en nuevas ventas.</t>
  </si>
  <si>
    <t>Necesito dar de baja un producto del inventario.</t>
  </si>
  <si>
    <t>Para ocultarlo del listado principal e impedir que se agregue a ventas futuras.</t>
  </si>
  <si>
    <t>Implementando una eliminación lógica que cambie el estado del producto a no disponible, lo oculte del inventario principal y evite que pueda ser agregado a nuevas ventas.</t>
  </si>
  <si>
    <t>El producto dado de baja deja de aparecer en el listado principal y no puede seleccionarse en una nueva nota de venta.</t>
  </si>
  <si>
    <t>Relacionado con CUC-12.</t>
  </si>
  <si>
    <t>Dar de baja un producto</t>
  </si>
  <si>
    <t>RQF-024</t>
  </si>
  <si>
    <t>Una baja accidental podría retirar un producto válido del inventario.</t>
  </si>
  <si>
    <t>Necesito confirmar la eliminación antes de aplicar el cambio.</t>
  </si>
  <si>
    <t>Para evitar bajas involuntarias y asegurar que el cambio quede sincronizado.</t>
  </si>
  <si>
    <t>Implementando un cuadro de confirmación con las opciones Confirmar y Cancelar antes de dar de baja un producto; al confirmar, se debe sincronizar el cambio y mostrar el mensaje de operación exitosa.</t>
  </si>
  <si>
    <t>Al cancelar no se modifica el producto. Al confirmar, se registra la baja, se sincroniza y se muestra “Producto dado de baja exitosamente”.</t>
  </si>
  <si>
    <t>Confirmar baja del producto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</si>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</sst>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yyyy\-mm\-dd"/>
    <numFmt numFmtId="166" formatCode="dd/mm/yyyy"/>
  </numFmts>
  <fonts count="20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theme="1"/>
      <name val="Arial Narrow"/>
    </font>
    <font>
      <color rgb="FF000000"/>
      <name val="&quot;Arial Narrow&quot;"/>
    </font>
    <font>
      <sz val="11.0"/>
      <color rgb="FF000000"/>
      <name val="Arial"/>
    </font>
    <font>
      <sz val="11.0"/>
      <color rgb="FF000000"/>
      <name val="&quot;Arial Narrow&quot;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  <font>
      <sz val="10.0"/>
      <color theme="1"/>
      <name val="Calibri"/>
    </font>
    <font>
      <b/>
      <sz val="11.0"/>
      <color rgb="FFFFFFFF"/>
      <name val="Calibri"/>
    </font>
    <font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4" fillId="2" fontId="1" numFmtId="0" xfId="0" applyBorder="1" applyFill="1" applyFont="1"/>
    <xf borderId="5" fillId="3" fontId="5" numFmtId="0" xfId="0" applyAlignment="1" applyBorder="1" applyFill="1" applyFont="1">
      <alignment horizontal="center" readingOrder="0" shrinkToFit="0" vertical="top" wrapText="0"/>
    </xf>
    <xf borderId="5" fillId="3" fontId="5" numFmtId="0" xfId="0" applyAlignment="1" applyBorder="1" applyFont="1">
      <alignment readingOrder="0" shrinkToFit="0" vertical="top" wrapText="0"/>
    </xf>
    <xf borderId="5" fillId="3" fontId="5" numFmtId="0" xfId="0" applyAlignment="1" applyBorder="1" applyFont="1">
      <alignment readingOrder="0" shrinkToFit="0" vertical="top" wrapText="0"/>
    </xf>
    <xf borderId="5" fillId="3" fontId="5" numFmtId="164" xfId="0" applyAlignment="1" applyBorder="1" applyFont="1" applyNumberFormat="1">
      <alignment horizontal="center" shrinkToFit="0" vertical="top" wrapText="0"/>
    </xf>
    <xf borderId="5" fillId="3" fontId="5" numFmtId="49" xfId="0" applyAlignment="1" applyBorder="1" applyFont="1" applyNumberFormat="1">
      <alignment horizontal="center" readingOrder="0" shrinkToFit="0" vertical="top" wrapText="0"/>
    </xf>
    <xf borderId="4" fillId="3" fontId="1" numFmtId="0" xfId="0" applyBorder="1" applyFont="1"/>
    <xf borderId="5" fillId="0" fontId="5" numFmtId="0" xfId="0" applyAlignment="1" applyBorder="1" applyFont="1">
      <alignment horizontal="center" readingOrder="0" shrinkToFit="0" vertical="top" wrapText="0"/>
    </xf>
    <xf borderId="5" fillId="3" fontId="5" numFmtId="165" xfId="0" applyAlignment="1" applyBorder="1" applyFont="1" applyNumberFormat="1">
      <alignment horizontal="center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166" xfId="0" applyAlignment="1" applyFont="1" applyNumberFormat="1">
      <alignment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49" xfId="0" applyAlignment="1" applyFont="1" applyNumberFormat="1">
      <alignment readingOrder="0" shrinkToFit="0" vertical="top" wrapText="0"/>
    </xf>
    <xf borderId="0" fillId="3" fontId="7" numFmtId="0" xfId="0" applyAlignment="1" applyFont="1">
      <alignment readingOrder="0" shrinkToFit="0" vertical="top" wrapText="0"/>
    </xf>
    <xf borderId="0" fillId="3" fontId="7" numFmtId="0" xfId="0" applyAlignment="1" applyFont="1">
      <alignment readingOrder="0" shrinkToFit="0" vertical="top" wrapText="0"/>
    </xf>
    <xf borderId="0" fillId="3" fontId="7" numFmtId="165" xfId="0" applyAlignment="1" applyFont="1" applyNumberFormat="1">
      <alignment shrinkToFit="0" vertical="top" wrapText="0"/>
    </xf>
    <xf borderId="0" fillId="3" fontId="7" numFmtId="0" xfId="0" applyAlignment="1" applyFont="1">
      <alignment readingOrder="0" shrinkToFit="0" vertical="top" wrapText="0"/>
    </xf>
    <xf borderId="0" fillId="3" fontId="7" numFmtId="49" xfId="0" applyAlignment="1" applyFont="1" applyNumberFormat="1">
      <alignment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3" fontId="5" numFmtId="0" xfId="0" applyAlignment="1" applyFont="1">
      <alignment readingOrder="0" shrinkToFit="0" vertical="top" wrapText="0"/>
    </xf>
    <xf borderId="0" fillId="3" fontId="5" numFmtId="0" xfId="0" applyAlignment="1" applyFont="1">
      <alignment readingOrder="0" shrinkToFit="0" vertical="top" wrapText="0"/>
    </xf>
    <xf borderId="0" fillId="3" fontId="5" numFmtId="165" xfId="0" applyAlignment="1" applyFont="1" applyNumberFormat="1">
      <alignment horizontal="center" shrinkToFit="0" vertical="top" wrapText="0"/>
    </xf>
    <xf borderId="0" fillId="3" fontId="5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3" fontId="5" numFmtId="0" xfId="0" applyAlignment="1" applyFont="1">
      <alignment horizontal="center" shrinkToFit="0" vertical="top" wrapText="0"/>
    </xf>
    <xf borderId="0" fillId="3" fontId="7" numFmtId="0" xfId="0" applyAlignment="1" applyFont="1">
      <alignment horizontal="left" readingOrder="0" shrinkToFit="0" vertical="top" wrapText="0"/>
    </xf>
    <xf borderId="0" fillId="3" fontId="5" numFmtId="0" xfId="0" applyAlignment="1" applyFont="1">
      <alignment horizontal="center" shrinkToFit="0" vertical="top" wrapText="0"/>
    </xf>
    <xf borderId="0" fillId="3" fontId="7" numFmtId="165" xfId="0" applyAlignment="1" applyFont="1" applyNumberFormat="1">
      <alignment horizontal="center" shrinkToFit="0" vertical="top" wrapText="0"/>
    </xf>
    <xf borderId="0" fillId="3" fontId="7" numFmtId="0" xfId="0" applyAlignment="1" applyFont="1">
      <alignment horizontal="center" shrinkToFit="0" vertical="top" wrapText="0"/>
    </xf>
    <xf borderId="0" fillId="3" fontId="7" numFmtId="0" xfId="0" applyAlignment="1" applyFont="1">
      <alignment shrinkToFit="0" vertical="top" wrapText="0"/>
    </xf>
    <xf borderId="0" fillId="0" fontId="8" numFmtId="0" xfId="0" applyAlignment="1" applyFont="1">
      <alignment readingOrder="0"/>
    </xf>
    <xf borderId="0" fillId="3" fontId="7" numFmtId="0" xfId="0" applyAlignment="1" applyFont="1">
      <alignment horizontal="center" readingOrder="0" shrinkToFit="0" vertical="bottom" wrapText="0"/>
    </xf>
    <xf borderId="4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readingOrder="0"/>
    </xf>
    <xf borderId="0" fillId="3" fontId="7" numFmtId="0" xfId="0" applyAlignment="1" applyFont="1">
      <alignment horizontal="center" shrinkToFit="0" vertical="bottom" wrapText="0"/>
    </xf>
    <xf borderId="4" fillId="2" fontId="1" numFmtId="0" xfId="0" applyAlignment="1" applyBorder="1" applyFont="1">
      <alignment horizontal="center"/>
    </xf>
    <xf borderId="0" fillId="0" fontId="9" numFmtId="0" xfId="0" applyAlignment="1" applyFont="1">
      <alignment horizontal="left" shrinkToFit="0" vertical="center" wrapText="1"/>
    </xf>
    <xf borderId="0" fillId="0" fontId="10" numFmtId="0" xfId="0" applyFont="1"/>
    <xf borderId="1" fillId="4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0" fillId="0" fontId="9" numFmtId="0" xfId="0" applyAlignment="1" applyFont="1">
      <alignment horizontal="center" shrinkToFit="0" vertical="center" wrapText="1"/>
    </xf>
    <xf borderId="6" fillId="4" fontId="12" numFmtId="0" xfId="0" applyBorder="1" applyFont="1"/>
    <xf borderId="7" fillId="4" fontId="9" numFmtId="0" xfId="0" applyAlignment="1" applyBorder="1" applyFont="1">
      <alignment horizontal="left" shrinkToFit="0" vertical="center" wrapText="1"/>
    </xf>
    <xf borderId="7" fillId="4" fontId="10" numFmtId="0" xfId="0" applyBorder="1" applyFont="1"/>
    <xf borderId="7" fillId="4" fontId="12" numFmtId="0" xfId="0" applyBorder="1" applyFont="1"/>
    <xf borderId="8" fillId="4" fontId="12" numFmtId="0" xfId="0" applyBorder="1" applyFont="1"/>
    <xf borderId="9" fillId="4" fontId="12" numFmtId="0" xfId="0" applyBorder="1" applyFont="1"/>
    <xf borderId="5" fillId="5" fontId="13" numFmtId="0" xfId="0" applyAlignment="1" applyBorder="1" applyFill="1" applyFont="1">
      <alignment horizontal="center" vertical="center"/>
    </xf>
    <xf borderId="4" fillId="4" fontId="14" numFmtId="0" xfId="0" applyAlignment="1" applyBorder="1" applyFont="1">
      <alignment vertical="center"/>
    </xf>
    <xf borderId="1" fillId="5" fontId="13" numFmtId="0" xfId="0" applyAlignment="1" applyBorder="1" applyFont="1">
      <alignment horizontal="center" vertical="center"/>
    </xf>
    <xf borderId="4" fillId="4" fontId="12" numFmtId="0" xfId="0" applyBorder="1" applyFont="1"/>
    <xf borderId="10" fillId="4" fontId="12" numFmtId="0" xfId="0" applyBorder="1" applyFont="1"/>
    <xf borderId="5" fillId="2" fontId="15" numFmtId="0" xfId="0" applyAlignment="1" applyBorder="1" applyFont="1">
      <alignment horizontal="center" readingOrder="0" vertical="center"/>
    </xf>
    <xf borderId="4" fillId="4" fontId="10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horizontal="center" vertical="center"/>
    </xf>
    <xf borderId="4" fillId="4" fontId="10" numFmtId="0" xfId="0" applyAlignment="1" applyBorder="1" applyFont="1">
      <alignment vertical="center"/>
    </xf>
    <xf borderId="4" fillId="4" fontId="15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vertical="center"/>
    </xf>
    <xf borderId="11" fillId="6" fontId="13" numFmtId="0" xfId="0" applyAlignment="1" applyBorder="1" applyFill="1" applyFont="1">
      <alignment horizontal="center" vertical="center"/>
    </xf>
    <xf borderId="12" fillId="2" fontId="10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4" fillId="4" fontId="12" numFmtId="0" xfId="0" applyAlignment="1" applyBorder="1" applyFont="1">
      <alignment horizontal="center"/>
    </xf>
    <xf borderId="14" fillId="0" fontId="3" numFmtId="0" xfId="0" applyBorder="1" applyFont="1"/>
    <xf borderId="12" fillId="2" fontId="10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7" fontId="16" numFmtId="0" xfId="0" applyAlignment="1" applyBorder="1" applyFill="1" applyFont="1">
      <alignment horizontal="center" vertical="center"/>
    </xf>
    <xf borderId="22" fillId="8" fontId="15" numFmtId="0" xfId="0" applyAlignment="1" applyBorder="1" applyFill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5" fontId="13" numFmtId="0" xfId="0" applyAlignment="1" applyBorder="1" applyFont="1">
      <alignment horizontal="center" vertical="center"/>
    </xf>
    <xf borderId="12" fillId="2" fontId="10" numFmtId="49" xfId="0" applyAlignment="1" applyBorder="1" applyFont="1" applyNumberFormat="1">
      <alignment horizontal="left" shrinkToFit="0" vertical="center" wrapText="1"/>
    </xf>
    <xf borderId="28" fillId="4" fontId="12" numFmtId="0" xfId="0" applyBorder="1" applyFont="1"/>
    <xf borderId="29" fillId="4" fontId="12" numFmtId="0" xfId="0" applyBorder="1" applyFont="1"/>
    <xf borderId="30" fillId="4" fontId="12" numFmtId="0" xfId="0" applyBorder="1" applyFont="1"/>
    <xf borderId="0" fillId="0" fontId="11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/>
    </xf>
    <xf borderId="0" fillId="0" fontId="17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center" vertical="center"/>
    </xf>
    <xf borderId="0" fillId="0" fontId="10" numFmtId="49" xfId="0" applyAlignment="1" applyFont="1" applyNumberFormat="1">
      <alignment horizontal="left" shrinkToFit="0" vertical="center" wrapText="1"/>
    </xf>
    <xf borderId="0" fillId="0" fontId="11" numFmtId="0" xfId="0" applyAlignment="1" applyFont="1">
      <alignment horizontal="center" shrinkToFit="0" wrapText="1"/>
    </xf>
    <xf borderId="0" fillId="0" fontId="18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16" numFmtId="0" xfId="0" applyAlignment="1" applyFont="1">
      <alignment horizontal="center"/>
    </xf>
    <xf borderId="0" fillId="0" fontId="17" numFmtId="49" xfId="0" applyAlignment="1" applyFont="1" applyNumberFormat="1">
      <alignment shrinkToFit="0" wrapText="1"/>
    </xf>
    <xf borderId="0" fillId="0" fontId="12" numFmtId="0" xfId="0" applyAlignment="1" applyFont="1">
      <alignment shrinkToFit="0" wrapText="1"/>
    </xf>
    <xf borderId="0" fillId="0" fontId="17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wrapText="1"/>
    </xf>
    <xf borderId="0" fillId="0" fontId="12" numFmtId="49" xfId="0" applyFont="1" applyNumberFormat="1"/>
    <xf borderId="0" fillId="0" fontId="10" numFmtId="49" xfId="0" applyAlignment="1" applyFont="1" applyNumberFormat="1">
      <alignment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FFE599"/>
        </left>
        <right style="thin">
          <color rgb="FFFFE599"/>
        </right>
        <top style="thin">
          <color rgb="FFFFE599"/>
        </top>
        <bottom style="thin">
          <color rgb="FFFFE599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  <tableStyles count="1">
    <tableStyle count="4" pivot="0" name="Formato descripción HU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O29" displayName="Tabla_1" name="Tabla_1" id="1">
  <tableColumns count="14">
    <tableColumn name="ITEM" id="1"/>
    <tableColumn name="PROBLEMA" id="2"/>
    <tableColumn name="QUE _x000a_(NECESIDAD)" id="3"/>
    <tableColumn name="PARA QUE _x000a_(SOLUCIÓN)" id="4"/>
    <tableColumn name="PARA QUIEN (USUARIO)" id="5"/>
    <tableColumn name="COMO_x000a_ (DESCRIPCIÓN DE TAREAS)" id="6"/>
    <tableColumn name="HECHO POR  (PROG. RESP.)" id="7"/>
    <tableColumn name="CUANTO TIEMPO (ESTIMADO EN HRS)" id="8"/>
    <tableColumn name="FECHA DE ENTREGA" id="9"/>
    <tableColumn name="PRIORIDAD" id="10"/>
    <tableColumn name="STATUS" id="11"/>
    <tableColumn name="PRUEBA _x000a_(COMO SE VERIFICA)" id="12"/>
    <tableColumn name="COMENTARIOS" id="13"/>
    <tableColumn name="NOMBRE DE HISTORIA " id="14"/>
  </tableColumns>
  <tableStyleInfo name="Formato descripción H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9.75"/>
    <col customWidth="1" min="3" max="5" width="37.63"/>
    <col customWidth="1" min="6" max="6" width="13.5"/>
    <col customWidth="1" min="7" max="7" width="37.63"/>
    <col customWidth="1" min="8" max="8" width="14.13"/>
    <col customWidth="1" min="9" max="9" width="13.88"/>
    <col customWidth="1" min="10" max="10" width="10.63"/>
    <col customWidth="1" min="11" max="11" width="13.88"/>
    <col customWidth="1" min="12" max="12" width="14.5"/>
    <col customWidth="1" min="13" max="13" width="37.63"/>
    <col customWidth="1" min="14" max="14" width="28.88"/>
    <col customWidth="1" min="15" max="15" width="33.88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2.25" customHeight="1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2.0" customHeight="1">
      <c r="A6" s="8"/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10" t="s">
        <v>21</v>
      </c>
      <c r="I6" s="11">
        <v>4.0</v>
      </c>
      <c r="J6" s="12"/>
      <c r="K6" s="10" t="s">
        <v>22</v>
      </c>
      <c r="L6" s="10" t="s">
        <v>23</v>
      </c>
      <c r="M6" s="13" t="s">
        <v>24</v>
      </c>
      <c r="N6" s="9" t="s">
        <v>25</v>
      </c>
      <c r="O6" s="9" t="s">
        <v>26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02.0" customHeight="1">
      <c r="A7" s="8"/>
      <c r="B7" s="9" t="s">
        <v>27</v>
      </c>
      <c r="C7" s="9" t="s">
        <v>28</v>
      </c>
      <c r="D7" s="9" t="s">
        <v>29</v>
      </c>
      <c r="E7" s="9" t="s">
        <v>30</v>
      </c>
      <c r="F7" s="9" t="s">
        <v>19</v>
      </c>
      <c r="G7" s="9" t="s">
        <v>31</v>
      </c>
      <c r="H7" s="10" t="s">
        <v>21</v>
      </c>
      <c r="I7" s="11">
        <v>6.0</v>
      </c>
      <c r="J7" s="12"/>
      <c r="K7" s="10" t="s">
        <v>22</v>
      </c>
      <c r="L7" s="10" t="s">
        <v>23</v>
      </c>
      <c r="M7" s="13" t="s">
        <v>32</v>
      </c>
      <c r="N7" s="9" t="s">
        <v>33</v>
      </c>
      <c r="O7" s="15" t="s">
        <v>34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47.25" customHeight="1">
      <c r="A8" s="8"/>
      <c r="B8" s="9" t="s">
        <v>35</v>
      </c>
      <c r="C8" s="9" t="s">
        <v>36</v>
      </c>
      <c r="D8" s="9" t="s">
        <v>37</v>
      </c>
      <c r="E8" s="9" t="s">
        <v>38</v>
      </c>
      <c r="F8" s="9" t="s">
        <v>19</v>
      </c>
      <c r="G8" s="9" t="s">
        <v>39</v>
      </c>
      <c r="H8" s="10" t="s">
        <v>40</v>
      </c>
      <c r="I8" s="11">
        <v>8.0</v>
      </c>
      <c r="J8" s="16"/>
      <c r="K8" s="10" t="s">
        <v>41</v>
      </c>
      <c r="L8" s="10" t="s">
        <v>23</v>
      </c>
      <c r="M8" s="13" t="s">
        <v>42</v>
      </c>
      <c r="N8" s="9" t="s">
        <v>43</v>
      </c>
      <c r="O8" s="15" t="s">
        <v>44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14.75" customHeight="1">
      <c r="A9" s="8"/>
      <c r="B9" s="17" t="s">
        <v>45</v>
      </c>
      <c r="C9" s="17" t="s">
        <v>46</v>
      </c>
      <c r="D9" s="17" t="s">
        <v>47</v>
      </c>
      <c r="E9" s="17" t="s">
        <v>48</v>
      </c>
      <c r="F9" s="17" t="s">
        <v>19</v>
      </c>
      <c r="G9" s="17" t="s">
        <v>49</v>
      </c>
      <c r="H9" s="10" t="s">
        <v>50</v>
      </c>
      <c r="I9" s="18">
        <v>6.0</v>
      </c>
      <c r="J9" s="19"/>
      <c r="K9" s="20" t="s">
        <v>22</v>
      </c>
      <c r="L9" s="20" t="s">
        <v>23</v>
      </c>
      <c r="M9" s="21" t="s">
        <v>51</v>
      </c>
      <c r="N9" s="17" t="s">
        <v>43</v>
      </c>
      <c r="O9" s="17" t="s">
        <v>52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75.75" customHeight="1">
      <c r="A10" s="8"/>
      <c r="B10" s="22" t="s">
        <v>53</v>
      </c>
      <c r="C10" s="22" t="s">
        <v>54</v>
      </c>
      <c r="D10" s="22" t="s">
        <v>55</v>
      </c>
      <c r="E10" s="22" t="s">
        <v>56</v>
      </c>
      <c r="F10" s="22" t="s">
        <v>19</v>
      </c>
      <c r="G10" s="22" t="s">
        <v>57</v>
      </c>
      <c r="H10" s="10" t="s">
        <v>50</v>
      </c>
      <c r="I10" s="23">
        <v>10.0</v>
      </c>
      <c r="J10" s="24"/>
      <c r="K10" s="25" t="s">
        <v>41</v>
      </c>
      <c r="L10" s="25" t="s">
        <v>23</v>
      </c>
      <c r="M10" s="26" t="s">
        <v>58</v>
      </c>
      <c r="N10" s="22" t="s">
        <v>59</v>
      </c>
      <c r="O10" s="27" t="s">
        <v>60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8"/>
      <c r="B11" s="22" t="s">
        <v>61</v>
      </c>
      <c r="C11" s="22" t="s">
        <v>62</v>
      </c>
      <c r="D11" s="22" t="s">
        <v>63</v>
      </c>
      <c r="E11" s="22" t="s">
        <v>64</v>
      </c>
      <c r="F11" s="22" t="s">
        <v>19</v>
      </c>
      <c r="G11" s="22" t="s">
        <v>65</v>
      </c>
      <c r="H11" s="10" t="s">
        <v>21</v>
      </c>
      <c r="I11" s="23">
        <v>8.0</v>
      </c>
      <c r="J11" s="24"/>
      <c r="K11" s="25" t="s">
        <v>22</v>
      </c>
      <c r="L11" s="25" t="s">
        <v>23</v>
      </c>
      <c r="M11" s="22" t="s">
        <v>66</v>
      </c>
      <c r="N11" s="22" t="s">
        <v>59</v>
      </c>
      <c r="O11" s="27" t="s">
        <v>67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4.5" customHeight="1">
      <c r="A12" s="8"/>
      <c r="B12" s="22" t="s">
        <v>68</v>
      </c>
      <c r="C12" s="22" t="s">
        <v>69</v>
      </c>
      <c r="D12" s="22" t="s">
        <v>70</v>
      </c>
      <c r="E12" s="22" t="s">
        <v>71</v>
      </c>
      <c r="F12" s="22" t="s">
        <v>19</v>
      </c>
      <c r="G12" s="22" t="s">
        <v>72</v>
      </c>
      <c r="H12" s="10" t="s">
        <v>21</v>
      </c>
      <c r="I12" s="23">
        <v>8.0</v>
      </c>
      <c r="J12" s="24"/>
      <c r="K12" s="25" t="s">
        <v>22</v>
      </c>
      <c r="L12" s="25" t="s">
        <v>23</v>
      </c>
      <c r="M12" s="22" t="s">
        <v>73</v>
      </c>
      <c r="N12" s="22" t="s">
        <v>74</v>
      </c>
      <c r="O12" s="27" t="s">
        <v>75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1.5" customHeight="1">
      <c r="A13" s="8"/>
      <c r="B13" s="28" t="s">
        <v>76</v>
      </c>
      <c r="C13" s="28" t="s">
        <v>77</v>
      </c>
      <c r="D13" s="28" t="s">
        <v>78</v>
      </c>
      <c r="E13" s="22" t="s">
        <v>79</v>
      </c>
      <c r="F13" s="28" t="s">
        <v>19</v>
      </c>
      <c r="G13" s="28" t="s">
        <v>80</v>
      </c>
      <c r="H13" s="10" t="s">
        <v>21</v>
      </c>
      <c r="I13" s="29">
        <v>6.0</v>
      </c>
      <c r="J13" s="30"/>
      <c r="K13" s="31" t="s">
        <v>22</v>
      </c>
      <c r="L13" s="31" t="s">
        <v>23</v>
      </c>
      <c r="M13" s="28" t="s">
        <v>81</v>
      </c>
      <c r="N13" s="28" t="s">
        <v>74</v>
      </c>
      <c r="O13" s="32" t="s">
        <v>82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0.5" customHeight="1">
      <c r="A14" s="8"/>
      <c r="B14" s="28" t="s">
        <v>83</v>
      </c>
      <c r="C14" s="28" t="s">
        <v>84</v>
      </c>
      <c r="D14" s="28" t="s">
        <v>85</v>
      </c>
      <c r="E14" s="28" t="s">
        <v>86</v>
      </c>
      <c r="F14" s="28" t="s">
        <v>19</v>
      </c>
      <c r="G14" s="28" t="s">
        <v>87</v>
      </c>
      <c r="H14" s="10" t="s">
        <v>21</v>
      </c>
      <c r="I14" s="29">
        <v>10.0</v>
      </c>
      <c r="J14" s="33"/>
      <c r="K14" s="31" t="s">
        <v>22</v>
      </c>
      <c r="L14" s="31" t="s">
        <v>23</v>
      </c>
      <c r="M14" s="28" t="s">
        <v>88</v>
      </c>
      <c r="N14" s="34" t="s">
        <v>89</v>
      </c>
      <c r="O14" s="32" t="s">
        <v>90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1.5" customHeight="1">
      <c r="A15" s="8"/>
      <c r="B15" s="28" t="s">
        <v>91</v>
      </c>
      <c r="C15" s="28" t="s">
        <v>92</v>
      </c>
      <c r="D15" s="28" t="s">
        <v>93</v>
      </c>
      <c r="E15" s="22" t="s">
        <v>94</v>
      </c>
      <c r="F15" s="28" t="s">
        <v>19</v>
      </c>
      <c r="G15" s="28" t="s">
        <v>95</v>
      </c>
      <c r="H15" s="10" t="s">
        <v>21</v>
      </c>
      <c r="I15" s="29">
        <v>6.0</v>
      </c>
      <c r="J15" s="35"/>
      <c r="K15" s="31" t="s">
        <v>22</v>
      </c>
      <c r="L15" s="31" t="s">
        <v>23</v>
      </c>
      <c r="M15" s="28" t="s">
        <v>96</v>
      </c>
      <c r="N15" s="28" t="s">
        <v>89</v>
      </c>
      <c r="O15" s="32" t="s">
        <v>97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8.5" customHeight="1">
      <c r="A16" s="8"/>
      <c r="B16" s="28" t="s">
        <v>98</v>
      </c>
      <c r="C16" s="28" t="s">
        <v>99</v>
      </c>
      <c r="D16" s="28" t="s">
        <v>100</v>
      </c>
      <c r="E16" s="28" t="s">
        <v>101</v>
      </c>
      <c r="F16" s="28" t="s">
        <v>19</v>
      </c>
      <c r="G16" s="28" t="s">
        <v>102</v>
      </c>
      <c r="H16" s="10" t="s">
        <v>21</v>
      </c>
      <c r="I16" s="29">
        <v>8.0</v>
      </c>
      <c r="J16" s="35"/>
      <c r="K16" s="31" t="s">
        <v>22</v>
      </c>
      <c r="L16" s="31" t="s">
        <v>23</v>
      </c>
      <c r="M16" s="34" t="s">
        <v>103</v>
      </c>
      <c r="N16" s="28" t="s">
        <v>104</v>
      </c>
      <c r="O16" s="32" t="s">
        <v>105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8"/>
      <c r="B17" s="28" t="s">
        <v>106</v>
      </c>
      <c r="C17" s="28" t="s">
        <v>107</v>
      </c>
      <c r="D17" s="28" t="s">
        <v>108</v>
      </c>
      <c r="E17" s="28" t="s">
        <v>109</v>
      </c>
      <c r="F17" s="28" t="s">
        <v>19</v>
      </c>
      <c r="G17" s="28" t="s">
        <v>110</v>
      </c>
      <c r="H17" s="10" t="s">
        <v>21</v>
      </c>
      <c r="I17" s="29">
        <v>8.0</v>
      </c>
      <c r="J17" s="35"/>
      <c r="K17" s="31" t="s">
        <v>41</v>
      </c>
      <c r="L17" s="31" t="s">
        <v>23</v>
      </c>
      <c r="M17" s="28" t="s">
        <v>111</v>
      </c>
      <c r="N17" s="28" t="s">
        <v>104</v>
      </c>
      <c r="O17" s="34" t="s">
        <v>112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75" customHeight="1">
      <c r="A18" s="8"/>
      <c r="B18" s="22" t="s">
        <v>113</v>
      </c>
      <c r="C18" s="22" t="s">
        <v>114</v>
      </c>
      <c r="D18" s="22" t="s">
        <v>115</v>
      </c>
      <c r="E18" s="22" t="s">
        <v>116</v>
      </c>
      <c r="F18" s="22" t="s">
        <v>19</v>
      </c>
      <c r="G18" s="22" t="s">
        <v>117</v>
      </c>
      <c r="H18" s="10" t="s">
        <v>21</v>
      </c>
      <c r="I18" s="23">
        <v>8.0</v>
      </c>
      <c r="J18" s="36"/>
      <c r="K18" s="25" t="s">
        <v>22</v>
      </c>
      <c r="L18" s="25" t="s">
        <v>23</v>
      </c>
      <c r="M18" s="22" t="s">
        <v>118</v>
      </c>
      <c r="N18" s="22" t="s">
        <v>119</v>
      </c>
      <c r="O18" s="27" t="s">
        <v>120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9.75" customHeight="1">
      <c r="A19" s="8"/>
      <c r="B19" s="22" t="s">
        <v>121</v>
      </c>
      <c r="C19" s="22" t="s">
        <v>122</v>
      </c>
      <c r="D19" s="22" t="s">
        <v>123</v>
      </c>
      <c r="E19" s="22" t="s">
        <v>124</v>
      </c>
      <c r="F19" s="22" t="s">
        <v>19</v>
      </c>
      <c r="G19" s="22" t="s">
        <v>125</v>
      </c>
      <c r="H19" s="10" t="s">
        <v>21</v>
      </c>
      <c r="I19" s="23">
        <v>3.0</v>
      </c>
      <c r="J19" s="36"/>
      <c r="K19" s="25" t="s">
        <v>41</v>
      </c>
      <c r="L19" s="25" t="s">
        <v>23</v>
      </c>
      <c r="M19" s="22" t="s">
        <v>126</v>
      </c>
      <c r="N19" s="22" t="s">
        <v>119</v>
      </c>
      <c r="O19" s="27" t="s">
        <v>127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9.75" customHeight="1">
      <c r="A20" s="8"/>
      <c r="B20" s="22" t="s">
        <v>128</v>
      </c>
      <c r="C20" s="22" t="s">
        <v>129</v>
      </c>
      <c r="D20" s="22" t="s">
        <v>130</v>
      </c>
      <c r="E20" s="22" t="s">
        <v>131</v>
      </c>
      <c r="F20" s="22" t="s">
        <v>19</v>
      </c>
      <c r="G20" s="22" t="s">
        <v>132</v>
      </c>
      <c r="H20" s="10" t="s">
        <v>21</v>
      </c>
      <c r="I20" s="23">
        <v>5.0</v>
      </c>
      <c r="J20" s="36"/>
      <c r="K20" s="25" t="s">
        <v>41</v>
      </c>
      <c r="L20" s="25" t="s">
        <v>23</v>
      </c>
      <c r="M20" s="22" t="s">
        <v>133</v>
      </c>
      <c r="N20" s="22" t="s">
        <v>134</v>
      </c>
      <c r="O20" s="27" t="s">
        <v>135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9.75" customHeight="1">
      <c r="A21" s="8"/>
      <c r="B21" s="22" t="s">
        <v>136</v>
      </c>
      <c r="C21" s="22" t="s">
        <v>137</v>
      </c>
      <c r="D21" s="22" t="s">
        <v>138</v>
      </c>
      <c r="E21" s="22" t="s">
        <v>139</v>
      </c>
      <c r="F21" s="22" t="s">
        <v>19</v>
      </c>
      <c r="G21" s="22" t="s">
        <v>140</v>
      </c>
      <c r="H21" s="10" t="s">
        <v>21</v>
      </c>
      <c r="I21" s="23">
        <v>8.0</v>
      </c>
      <c r="J21" s="36"/>
      <c r="K21" s="25" t="s">
        <v>41</v>
      </c>
      <c r="L21" s="25" t="s">
        <v>23</v>
      </c>
      <c r="M21" s="22" t="s">
        <v>141</v>
      </c>
      <c r="N21" s="22" t="s">
        <v>134</v>
      </c>
      <c r="O21" s="27" t="s">
        <v>142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9.75" customHeight="1">
      <c r="A22" s="8"/>
      <c r="B22" s="22" t="s">
        <v>143</v>
      </c>
      <c r="C22" s="22" t="s">
        <v>144</v>
      </c>
      <c r="D22" s="22" t="s">
        <v>145</v>
      </c>
      <c r="E22" s="22" t="s">
        <v>146</v>
      </c>
      <c r="F22" s="22" t="s">
        <v>19</v>
      </c>
      <c r="G22" s="22" t="s">
        <v>147</v>
      </c>
      <c r="H22" s="10" t="s">
        <v>21</v>
      </c>
      <c r="I22" s="23">
        <v>12.0</v>
      </c>
      <c r="J22" s="36"/>
      <c r="K22" s="25" t="s">
        <v>22</v>
      </c>
      <c r="L22" s="25" t="s">
        <v>23</v>
      </c>
      <c r="M22" s="22" t="s">
        <v>148</v>
      </c>
      <c r="N22" s="22" t="s">
        <v>149</v>
      </c>
      <c r="O22" s="27" t="s">
        <v>150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9.75" customHeight="1">
      <c r="A23" s="8"/>
      <c r="B23" s="22" t="s">
        <v>151</v>
      </c>
      <c r="C23" s="22" t="s">
        <v>152</v>
      </c>
      <c r="D23" s="22" t="s">
        <v>153</v>
      </c>
      <c r="E23" s="22" t="s">
        <v>154</v>
      </c>
      <c r="F23" s="22" t="s">
        <v>19</v>
      </c>
      <c r="G23" s="22" t="s">
        <v>155</v>
      </c>
      <c r="H23" s="10" t="s">
        <v>21</v>
      </c>
      <c r="I23" s="23">
        <v>8.0</v>
      </c>
      <c r="J23" s="37"/>
      <c r="K23" s="25" t="s">
        <v>41</v>
      </c>
      <c r="L23" s="25" t="s">
        <v>23</v>
      </c>
      <c r="M23" s="22" t="s">
        <v>156</v>
      </c>
      <c r="N23" s="22" t="s">
        <v>149</v>
      </c>
      <c r="O23" s="27" t="s">
        <v>157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9.75" customHeight="1">
      <c r="A24" s="8"/>
      <c r="B24" s="22" t="s">
        <v>158</v>
      </c>
      <c r="C24" s="22" t="s">
        <v>159</v>
      </c>
      <c r="D24" s="22" t="s">
        <v>160</v>
      </c>
      <c r="E24" s="22" t="s">
        <v>161</v>
      </c>
      <c r="F24" s="22" t="s">
        <v>19</v>
      </c>
      <c r="G24" s="22" t="s">
        <v>162</v>
      </c>
      <c r="H24" s="10" t="s">
        <v>21</v>
      </c>
      <c r="I24" s="23">
        <v>7.0</v>
      </c>
      <c r="J24" s="37"/>
      <c r="K24" s="25" t="s">
        <v>41</v>
      </c>
      <c r="L24" s="25" t="s">
        <v>23</v>
      </c>
      <c r="M24" s="22" t="s">
        <v>163</v>
      </c>
      <c r="N24" s="22" t="s">
        <v>164</v>
      </c>
      <c r="O24" s="27" t="s">
        <v>165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9.75" customHeight="1">
      <c r="A25" s="8"/>
      <c r="B25" s="22" t="s">
        <v>166</v>
      </c>
      <c r="C25" s="22" t="s">
        <v>167</v>
      </c>
      <c r="D25" s="22" t="s">
        <v>168</v>
      </c>
      <c r="E25" s="22" t="s">
        <v>169</v>
      </c>
      <c r="F25" s="22" t="s">
        <v>19</v>
      </c>
      <c r="G25" s="22" t="s">
        <v>170</v>
      </c>
      <c r="H25" s="10" t="s">
        <v>21</v>
      </c>
      <c r="I25" s="23">
        <v>8.0</v>
      </c>
      <c r="J25" s="38"/>
      <c r="K25" s="25" t="s">
        <v>41</v>
      </c>
      <c r="L25" s="25" t="s">
        <v>23</v>
      </c>
      <c r="M25" s="22" t="s">
        <v>171</v>
      </c>
      <c r="N25" s="22" t="s">
        <v>164</v>
      </c>
      <c r="O25" s="27" t="s">
        <v>172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9.75" customHeight="1">
      <c r="A26" s="8"/>
      <c r="B26" s="22" t="s">
        <v>173</v>
      </c>
      <c r="C26" s="22" t="s">
        <v>174</v>
      </c>
      <c r="D26" s="22" t="s">
        <v>175</v>
      </c>
      <c r="E26" s="22" t="s">
        <v>176</v>
      </c>
      <c r="F26" s="22" t="s">
        <v>19</v>
      </c>
      <c r="G26" s="22" t="s">
        <v>177</v>
      </c>
      <c r="H26" s="10" t="s">
        <v>21</v>
      </c>
      <c r="I26" s="23">
        <v>7.0</v>
      </c>
      <c r="J26" s="38"/>
      <c r="K26" s="25" t="s">
        <v>41</v>
      </c>
      <c r="L26" s="25" t="s">
        <v>23</v>
      </c>
      <c r="M26" s="22" t="s">
        <v>178</v>
      </c>
      <c r="N26" s="22" t="s">
        <v>179</v>
      </c>
      <c r="O26" s="27" t="s">
        <v>180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9.75" customHeight="1">
      <c r="A27" s="8"/>
      <c r="B27" s="22" t="s">
        <v>181</v>
      </c>
      <c r="C27" s="22" t="s">
        <v>182</v>
      </c>
      <c r="D27" s="22" t="s">
        <v>183</v>
      </c>
      <c r="E27" s="22" t="s">
        <v>184</v>
      </c>
      <c r="F27" s="22" t="s">
        <v>19</v>
      </c>
      <c r="G27" s="22" t="s">
        <v>185</v>
      </c>
      <c r="H27" s="10" t="s">
        <v>21</v>
      </c>
      <c r="I27" s="23">
        <v>10.0</v>
      </c>
      <c r="J27" s="38"/>
      <c r="K27" s="25" t="s">
        <v>22</v>
      </c>
      <c r="L27" s="25" t="s">
        <v>23</v>
      </c>
      <c r="M27" s="22" t="s">
        <v>186</v>
      </c>
      <c r="N27" s="22" t="s">
        <v>179</v>
      </c>
      <c r="O27" s="27" t="s">
        <v>187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9.75" customHeight="1">
      <c r="A28" s="8"/>
      <c r="B28" s="22" t="s">
        <v>188</v>
      </c>
      <c r="C28" s="22" t="s">
        <v>189</v>
      </c>
      <c r="D28" s="22" t="s">
        <v>190</v>
      </c>
      <c r="E28" s="22" t="s">
        <v>191</v>
      </c>
      <c r="F28" s="22" t="s">
        <v>19</v>
      </c>
      <c r="G28" s="22" t="s">
        <v>192</v>
      </c>
      <c r="H28" s="10" t="s">
        <v>21</v>
      </c>
      <c r="I28" s="23">
        <v>6.0</v>
      </c>
      <c r="J28" s="38"/>
      <c r="K28" s="25" t="s">
        <v>22</v>
      </c>
      <c r="L28" s="25" t="s">
        <v>23</v>
      </c>
      <c r="M28" s="22" t="s">
        <v>193</v>
      </c>
      <c r="N28" s="22" t="s">
        <v>194</v>
      </c>
      <c r="O28" s="27" t="s">
        <v>195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9.75" customHeight="1">
      <c r="A29" s="8"/>
      <c r="B29" s="22" t="s">
        <v>196</v>
      </c>
      <c r="C29" s="22" t="s">
        <v>197</v>
      </c>
      <c r="D29" s="22" t="s">
        <v>198</v>
      </c>
      <c r="E29" s="22" t="s">
        <v>199</v>
      </c>
      <c r="F29" s="22" t="s">
        <v>19</v>
      </c>
      <c r="G29" s="22" t="s">
        <v>200</v>
      </c>
      <c r="H29" s="10" t="s">
        <v>21</v>
      </c>
      <c r="I29" s="23">
        <v>5.0</v>
      </c>
      <c r="J29" s="38"/>
      <c r="K29" s="25" t="s">
        <v>22</v>
      </c>
      <c r="L29" s="25" t="s">
        <v>23</v>
      </c>
      <c r="M29" s="22" t="s">
        <v>201</v>
      </c>
      <c r="N29" s="22" t="s">
        <v>194</v>
      </c>
      <c r="O29" s="27" t="s">
        <v>202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9.75" customHeight="1">
      <c r="A30" s="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8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8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8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8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8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8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8"/>
      <c r="J37" s="39" t="s">
        <v>40</v>
      </c>
      <c r="K37" s="40" t="s">
        <v>22</v>
      </c>
      <c r="L37" s="40" t="s">
        <v>23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8"/>
      <c r="B38" s="8"/>
      <c r="C38" s="8"/>
      <c r="D38" s="8"/>
      <c r="E38" s="8"/>
      <c r="F38" s="8"/>
      <c r="G38" s="8"/>
      <c r="H38" s="8"/>
      <c r="I38" s="41"/>
      <c r="J38" s="42" t="s">
        <v>50</v>
      </c>
      <c r="K38" s="40" t="s">
        <v>41</v>
      </c>
      <c r="L38" s="40" t="s">
        <v>203</v>
      </c>
      <c r="M38" s="8"/>
      <c r="N38" s="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8"/>
      <c r="B39" s="8"/>
      <c r="C39" s="8"/>
      <c r="D39" s="8"/>
      <c r="E39" s="8"/>
      <c r="F39" s="8"/>
      <c r="G39" s="8"/>
      <c r="H39" s="8"/>
      <c r="I39" s="41"/>
      <c r="J39" s="42" t="s">
        <v>21</v>
      </c>
      <c r="K39" s="40" t="s">
        <v>204</v>
      </c>
      <c r="L39" s="40" t="s">
        <v>205</v>
      </c>
      <c r="M39" s="8"/>
      <c r="N39" s="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8"/>
      <c r="B40" s="8"/>
      <c r="C40" s="8"/>
      <c r="D40" s="8"/>
      <c r="E40" s="8"/>
      <c r="F40" s="8"/>
      <c r="G40" s="8"/>
      <c r="H40" s="8"/>
      <c r="I40" s="41"/>
      <c r="J40" s="8"/>
      <c r="K40" s="43"/>
      <c r="L40" s="40" t="s">
        <v>206</v>
      </c>
      <c r="M40" s="8"/>
      <c r="N40" s="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8"/>
      <c r="B41" s="8"/>
      <c r="C41" s="8"/>
      <c r="D41" s="8"/>
      <c r="E41" s="8"/>
      <c r="F41" s="8"/>
      <c r="G41" s="8"/>
      <c r="H41" s="8"/>
      <c r="I41" s="41"/>
      <c r="J41" s="8"/>
      <c r="K41" s="44"/>
      <c r="L41" s="44"/>
      <c r="M41" s="8"/>
      <c r="N41" s="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8"/>
      <c r="B42" s="8"/>
      <c r="C42" s="8"/>
      <c r="D42" s="8"/>
      <c r="E42" s="8"/>
      <c r="F42" s="8"/>
      <c r="G42" s="8"/>
      <c r="H42" s="8"/>
      <c r="I42" s="41"/>
      <c r="J42" s="8"/>
      <c r="K42" s="44"/>
      <c r="L42" s="44"/>
      <c r="M42" s="8"/>
      <c r="N42" s="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8"/>
      <c r="B43" s="8"/>
      <c r="C43" s="8"/>
      <c r="D43" s="8"/>
      <c r="E43" s="8"/>
      <c r="F43" s="8"/>
      <c r="G43" s="8"/>
      <c r="H43" s="8"/>
      <c r="I43" s="41"/>
      <c r="J43" s="8"/>
      <c r="K43" s="44"/>
      <c r="L43" s="44"/>
      <c r="M43" s="8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8"/>
      <c r="B44" s="8"/>
      <c r="C44" s="8"/>
      <c r="D44" s="8"/>
      <c r="E44" s="8"/>
      <c r="F44" s="8"/>
      <c r="G44" s="8"/>
      <c r="H44" s="8"/>
      <c r="I44" s="41"/>
      <c r="J44" s="8"/>
      <c r="K44" s="8"/>
      <c r="L44" s="8"/>
      <c r="M44" s="8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8"/>
      <c r="B45" s="8"/>
      <c r="C45" s="8"/>
      <c r="D45" s="8"/>
      <c r="E45" s="8"/>
      <c r="F45" s="8"/>
      <c r="G45" s="8"/>
      <c r="H45" s="8"/>
      <c r="I45" s="41"/>
      <c r="J45" s="8"/>
      <c r="K45" s="8"/>
      <c r="L45" s="8"/>
      <c r="M45" s="8"/>
      <c r="N45" s="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41"/>
      <c r="J46" s="8"/>
      <c r="K46" s="8"/>
      <c r="L46" s="8"/>
      <c r="M46" s="8"/>
      <c r="N46" s="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41"/>
      <c r="J47" s="8"/>
      <c r="K47" s="8"/>
      <c r="L47" s="8"/>
      <c r="M47" s="8"/>
      <c r="N47" s="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41"/>
      <c r="J48" s="41"/>
      <c r="K48" s="44"/>
      <c r="L48" s="41"/>
      <c r="M48" s="8"/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41"/>
      <c r="J49" s="41"/>
      <c r="K49" s="44"/>
      <c r="L49" s="41"/>
      <c r="M49" s="8"/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41"/>
      <c r="J50" s="41"/>
      <c r="K50" s="44"/>
      <c r="L50" s="41"/>
      <c r="M50" s="8"/>
      <c r="N50" s="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41"/>
      <c r="J51" s="41"/>
      <c r="K51" s="44"/>
      <c r="L51" s="41"/>
      <c r="M51" s="8"/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41"/>
      <c r="J52" s="41"/>
      <c r="K52" s="44"/>
      <c r="L52" s="41"/>
      <c r="M52" s="8"/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41"/>
      <c r="J53" s="41"/>
      <c r="K53" s="44"/>
      <c r="L53" s="41"/>
      <c r="M53" s="8"/>
      <c r="N53" s="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41"/>
      <c r="J54" s="41"/>
      <c r="K54" s="44"/>
      <c r="L54" s="41"/>
      <c r="M54" s="8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41"/>
      <c r="J55" s="41"/>
      <c r="K55" s="44"/>
      <c r="L55" s="41"/>
      <c r="M55" s="8"/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41"/>
      <c r="J56" s="41"/>
      <c r="K56" s="44"/>
      <c r="L56" s="41"/>
      <c r="M56" s="8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41"/>
      <c r="J57" s="41"/>
      <c r="K57" s="44"/>
      <c r="L57" s="41"/>
      <c r="M57" s="8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41"/>
      <c r="J58" s="41"/>
      <c r="K58" s="44"/>
      <c r="L58" s="41"/>
      <c r="M58" s="8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41"/>
      <c r="J59" s="41"/>
      <c r="K59" s="44"/>
      <c r="L59" s="41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41"/>
      <c r="J60" s="41"/>
      <c r="K60" s="44"/>
      <c r="L60" s="41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41"/>
      <c r="J61" s="41"/>
      <c r="K61" s="44"/>
      <c r="L61" s="41"/>
      <c r="M61" s="8"/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41"/>
      <c r="J62" s="41"/>
      <c r="K62" s="44"/>
      <c r="L62" s="41"/>
      <c r="M62" s="8"/>
      <c r="N62" s="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41"/>
      <c r="J63" s="41"/>
      <c r="K63" s="44"/>
      <c r="L63" s="41"/>
      <c r="M63" s="8"/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41"/>
      <c r="J64" s="41"/>
      <c r="K64" s="44"/>
      <c r="L64" s="41"/>
      <c r="M64" s="8"/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41"/>
      <c r="J65" s="41"/>
      <c r="K65" s="44"/>
      <c r="L65" s="41"/>
      <c r="M65" s="8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41"/>
      <c r="J66" s="41"/>
      <c r="K66" s="44"/>
      <c r="L66" s="41"/>
      <c r="M66" s="8"/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41"/>
      <c r="J67" s="41"/>
      <c r="K67" s="44"/>
      <c r="L67" s="41"/>
      <c r="M67" s="8"/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41"/>
      <c r="J68" s="41"/>
      <c r="K68" s="44"/>
      <c r="L68" s="41"/>
      <c r="M68" s="8"/>
      <c r="N68" s="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41"/>
      <c r="J69" s="41"/>
      <c r="K69" s="44"/>
      <c r="L69" s="41"/>
      <c r="M69" s="8"/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41"/>
      <c r="J70" s="41"/>
      <c r="K70" s="44"/>
      <c r="L70" s="41"/>
      <c r="M70" s="8"/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41"/>
      <c r="J71" s="41"/>
      <c r="K71" s="44"/>
      <c r="L71" s="41"/>
      <c r="M71" s="8"/>
      <c r="N71" s="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41"/>
      <c r="J72" s="41"/>
      <c r="K72" s="44"/>
      <c r="L72" s="41"/>
      <c r="M72" s="8"/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41"/>
      <c r="J73" s="41"/>
      <c r="K73" s="44"/>
      <c r="L73" s="41"/>
      <c r="M73" s="8"/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41"/>
      <c r="J74" s="41"/>
      <c r="K74" s="44"/>
      <c r="L74" s="41"/>
      <c r="M74" s="8"/>
      <c r="N74" s="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41"/>
      <c r="J75" s="41"/>
      <c r="K75" s="44"/>
      <c r="L75" s="41"/>
      <c r="M75" s="8"/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41"/>
      <c r="J76" s="41"/>
      <c r="K76" s="44"/>
      <c r="L76" s="41"/>
      <c r="M76" s="8"/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41"/>
      <c r="J77" s="41"/>
      <c r="K77" s="44"/>
      <c r="L77" s="41"/>
      <c r="M77" s="8"/>
      <c r="N77" s="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41"/>
      <c r="J78" s="41"/>
      <c r="K78" s="44"/>
      <c r="L78" s="41"/>
      <c r="M78" s="8"/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41"/>
      <c r="J79" s="41"/>
      <c r="K79" s="44"/>
      <c r="L79" s="41"/>
      <c r="M79" s="8"/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41"/>
      <c r="J80" s="41"/>
      <c r="K80" s="44"/>
      <c r="L80" s="41"/>
      <c r="M80" s="8"/>
      <c r="N80" s="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41"/>
      <c r="J81" s="41"/>
      <c r="K81" s="44"/>
      <c r="L81" s="41"/>
      <c r="M81" s="8"/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41"/>
      <c r="J82" s="41"/>
      <c r="K82" s="44"/>
      <c r="L82" s="41"/>
      <c r="M82" s="8"/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41"/>
      <c r="J83" s="41"/>
      <c r="K83" s="44"/>
      <c r="L83" s="41"/>
      <c r="M83" s="8"/>
      <c r="N83" s="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41"/>
      <c r="J84" s="41"/>
      <c r="K84" s="44"/>
      <c r="L84" s="41"/>
      <c r="M84" s="8"/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41"/>
      <c r="J85" s="41"/>
      <c r="K85" s="44"/>
      <c r="L85" s="41"/>
      <c r="M85" s="8"/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41"/>
      <c r="J86" s="41"/>
      <c r="K86" s="44"/>
      <c r="L86" s="41"/>
      <c r="M86" s="8"/>
      <c r="N86" s="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41"/>
      <c r="J87" s="41"/>
      <c r="K87" s="44"/>
      <c r="L87" s="41"/>
      <c r="M87" s="8"/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41"/>
      <c r="J88" s="41"/>
      <c r="K88" s="44"/>
      <c r="L88" s="41"/>
      <c r="M88" s="8"/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41"/>
      <c r="J89" s="41"/>
      <c r="K89" s="44"/>
      <c r="L89" s="41"/>
      <c r="M89" s="8"/>
      <c r="N89" s="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41"/>
      <c r="J90" s="41"/>
      <c r="K90" s="44"/>
      <c r="L90" s="41"/>
      <c r="M90" s="8"/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41"/>
      <c r="J91" s="41"/>
      <c r="K91" s="44"/>
      <c r="L91" s="41"/>
      <c r="M91" s="8"/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41"/>
      <c r="J92" s="41"/>
      <c r="K92" s="44"/>
      <c r="L92" s="41"/>
      <c r="M92" s="8"/>
      <c r="N92" s="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41"/>
      <c r="J93" s="41"/>
      <c r="K93" s="44"/>
      <c r="L93" s="41"/>
      <c r="M93" s="8"/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41"/>
      <c r="J94" s="41"/>
      <c r="K94" s="44"/>
      <c r="L94" s="41"/>
      <c r="M94" s="8"/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41"/>
      <c r="J95" s="41"/>
      <c r="K95" s="44"/>
      <c r="L95" s="41"/>
      <c r="M95" s="8"/>
      <c r="N95" s="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41"/>
      <c r="J96" s="41"/>
      <c r="K96" s="44"/>
      <c r="L96" s="41"/>
      <c r="M96" s="8"/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41"/>
      <c r="J97" s="41"/>
      <c r="K97" s="44"/>
      <c r="L97" s="41"/>
      <c r="M97" s="8"/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41"/>
      <c r="J98" s="41"/>
      <c r="K98" s="44"/>
      <c r="L98" s="41"/>
      <c r="M98" s="8"/>
      <c r="N98" s="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41"/>
      <c r="J99" s="41"/>
      <c r="K99" s="44"/>
      <c r="L99" s="41"/>
      <c r="M99" s="8"/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41"/>
      <c r="J100" s="41"/>
      <c r="K100" s="44"/>
      <c r="L100" s="41"/>
      <c r="M100" s="8"/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41"/>
      <c r="J101" s="41"/>
      <c r="K101" s="44"/>
      <c r="L101" s="41"/>
      <c r="M101" s="8"/>
      <c r="N101" s="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41"/>
      <c r="J102" s="41"/>
      <c r="K102" s="44"/>
      <c r="L102" s="41"/>
      <c r="M102" s="8"/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41"/>
      <c r="J103" s="41"/>
      <c r="K103" s="44"/>
      <c r="L103" s="41"/>
      <c r="M103" s="8"/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41"/>
      <c r="J104" s="41"/>
      <c r="K104" s="44"/>
      <c r="L104" s="41"/>
      <c r="M104" s="8"/>
      <c r="N104" s="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41"/>
      <c r="J105" s="41"/>
      <c r="K105" s="44"/>
      <c r="L105" s="41"/>
      <c r="M105" s="8"/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41"/>
      <c r="J106" s="41"/>
      <c r="K106" s="44"/>
      <c r="L106" s="41"/>
      <c r="M106" s="8"/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41"/>
      <c r="J107" s="41"/>
      <c r="K107" s="44"/>
      <c r="L107" s="41"/>
      <c r="M107" s="8"/>
      <c r="N107" s="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41"/>
      <c r="J108" s="41"/>
      <c r="K108" s="44"/>
      <c r="L108" s="41"/>
      <c r="M108" s="8"/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41"/>
      <c r="J109" s="41"/>
      <c r="K109" s="44"/>
      <c r="L109" s="41"/>
      <c r="M109" s="8"/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41"/>
      <c r="J110" s="41"/>
      <c r="K110" s="44"/>
      <c r="L110" s="41"/>
      <c r="M110" s="8"/>
      <c r="N110" s="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41"/>
      <c r="J111" s="41"/>
      <c r="K111" s="44"/>
      <c r="L111" s="41"/>
      <c r="M111" s="8"/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41"/>
      <c r="J112" s="41"/>
      <c r="K112" s="44"/>
      <c r="L112" s="41"/>
      <c r="M112" s="8"/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41"/>
      <c r="J113" s="41"/>
      <c r="K113" s="44"/>
      <c r="L113" s="41"/>
      <c r="M113" s="8"/>
      <c r="N113" s="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41"/>
      <c r="J114" s="41"/>
      <c r="K114" s="44"/>
      <c r="L114" s="41"/>
      <c r="M114" s="8"/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41"/>
      <c r="J115" s="41"/>
      <c r="K115" s="44"/>
      <c r="L115" s="41"/>
      <c r="M115" s="8"/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41"/>
      <c r="J116" s="41"/>
      <c r="K116" s="44"/>
      <c r="L116" s="41"/>
      <c r="M116" s="8"/>
      <c r="N116" s="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41"/>
      <c r="J117" s="41"/>
      <c r="K117" s="44"/>
      <c r="L117" s="41"/>
      <c r="M117" s="8"/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41"/>
      <c r="J118" s="41"/>
      <c r="K118" s="44"/>
      <c r="L118" s="41"/>
      <c r="M118" s="8"/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41"/>
      <c r="J119" s="41"/>
      <c r="K119" s="44"/>
      <c r="L119" s="41"/>
      <c r="M119" s="8"/>
      <c r="N119" s="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41"/>
      <c r="J120" s="41"/>
      <c r="K120" s="44"/>
      <c r="L120" s="41"/>
      <c r="M120" s="8"/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41"/>
      <c r="J121" s="41"/>
      <c r="K121" s="44"/>
      <c r="L121" s="41"/>
      <c r="M121" s="8"/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41"/>
      <c r="J122" s="41"/>
      <c r="K122" s="44"/>
      <c r="L122" s="41"/>
      <c r="M122" s="8"/>
      <c r="N122" s="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41"/>
      <c r="J123" s="41"/>
      <c r="K123" s="44"/>
      <c r="L123" s="41"/>
      <c r="M123" s="8"/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41"/>
      <c r="J124" s="41"/>
      <c r="K124" s="44"/>
      <c r="L124" s="41"/>
      <c r="M124" s="8"/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41"/>
      <c r="J125" s="41"/>
      <c r="K125" s="44"/>
      <c r="L125" s="41"/>
      <c r="M125" s="8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41"/>
      <c r="J126" s="41"/>
      <c r="K126" s="44"/>
      <c r="L126" s="41"/>
      <c r="M126" s="8"/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41"/>
      <c r="J127" s="41"/>
      <c r="K127" s="44"/>
      <c r="L127" s="41"/>
      <c r="M127" s="8"/>
      <c r="N127" s="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41"/>
      <c r="J128" s="41"/>
      <c r="K128" s="44"/>
      <c r="L128" s="41"/>
      <c r="M128" s="8"/>
      <c r="N128" s="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41"/>
      <c r="J129" s="41"/>
      <c r="K129" s="44"/>
      <c r="L129" s="41"/>
      <c r="M129" s="8"/>
      <c r="N129" s="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41"/>
      <c r="J130" s="41"/>
      <c r="K130" s="44"/>
      <c r="L130" s="41"/>
      <c r="M130" s="8"/>
      <c r="N130" s="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41"/>
      <c r="J131" s="41"/>
      <c r="K131" s="44"/>
      <c r="L131" s="41"/>
      <c r="M131" s="8"/>
      <c r="N131" s="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41"/>
      <c r="J132" s="41"/>
      <c r="K132" s="44"/>
      <c r="L132" s="41"/>
      <c r="M132" s="8"/>
      <c r="N132" s="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41"/>
      <c r="J133" s="41"/>
      <c r="K133" s="44"/>
      <c r="L133" s="41"/>
      <c r="M133" s="8"/>
      <c r="N133" s="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41"/>
      <c r="J134" s="41"/>
      <c r="K134" s="44"/>
      <c r="L134" s="41"/>
      <c r="M134" s="8"/>
      <c r="N134" s="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41"/>
      <c r="J135" s="41"/>
      <c r="K135" s="44"/>
      <c r="L135" s="41"/>
      <c r="M135" s="8"/>
      <c r="N135" s="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41"/>
      <c r="J136" s="41"/>
      <c r="K136" s="44"/>
      <c r="L136" s="41"/>
      <c r="M136" s="8"/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41"/>
      <c r="J137" s="41"/>
      <c r="K137" s="44"/>
      <c r="L137" s="41"/>
      <c r="M137" s="8"/>
      <c r="N137" s="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41"/>
      <c r="J138" s="41"/>
      <c r="K138" s="44"/>
      <c r="L138" s="41"/>
      <c r="M138" s="8"/>
      <c r="N138" s="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41"/>
      <c r="J139" s="41"/>
      <c r="K139" s="44"/>
      <c r="L139" s="41"/>
      <c r="M139" s="8"/>
      <c r="N139" s="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41"/>
      <c r="J140" s="41"/>
      <c r="K140" s="44"/>
      <c r="L140" s="41"/>
      <c r="M140" s="8"/>
      <c r="N140" s="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41"/>
      <c r="J141" s="41"/>
      <c r="K141" s="44"/>
      <c r="L141" s="41"/>
      <c r="M141" s="8"/>
      <c r="N141" s="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41"/>
      <c r="J142" s="41"/>
      <c r="K142" s="44"/>
      <c r="L142" s="41"/>
      <c r="M142" s="8"/>
      <c r="N142" s="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41"/>
      <c r="J143" s="41"/>
      <c r="K143" s="44"/>
      <c r="L143" s="41"/>
      <c r="M143" s="8"/>
      <c r="N143" s="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41"/>
      <c r="J144" s="41"/>
      <c r="K144" s="44"/>
      <c r="L144" s="41"/>
      <c r="M144" s="8"/>
      <c r="N144" s="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41"/>
      <c r="J145" s="41"/>
      <c r="K145" s="44"/>
      <c r="L145" s="41"/>
      <c r="M145" s="8"/>
      <c r="N145" s="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41"/>
      <c r="J146" s="41"/>
      <c r="K146" s="44"/>
      <c r="L146" s="41"/>
      <c r="M146" s="8"/>
      <c r="N146" s="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41"/>
      <c r="J147" s="41"/>
      <c r="K147" s="44"/>
      <c r="L147" s="41"/>
      <c r="M147" s="8"/>
      <c r="N147" s="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41"/>
      <c r="J148" s="41"/>
      <c r="K148" s="44"/>
      <c r="L148" s="41"/>
      <c r="M148" s="8"/>
      <c r="N148" s="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41"/>
      <c r="J149" s="41"/>
      <c r="K149" s="44"/>
      <c r="L149" s="41"/>
      <c r="M149" s="8"/>
      <c r="N149" s="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41"/>
      <c r="J150" s="41"/>
      <c r="K150" s="44"/>
      <c r="L150" s="41"/>
      <c r="M150" s="8"/>
      <c r="N150" s="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41"/>
      <c r="J151" s="41"/>
      <c r="K151" s="44"/>
      <c r="L151" s="41"/>
      <c r="M151" s="8"/>
      <c r="N151" s="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41"/>
      <c r="J152" s="41"/>
      <c r="K152" s="44"/>
      <c r="L152" s="41"/>
      <c r="M152" s="8"/>
      <c r="N152" s="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41"/>
      <c r="J153" s="41"/>
      <c r="K153" s="44"/>
      <c r="L153" s="41"/>
      <c r="M153" s="8"/>
      <c r="N153" s="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41"/>
      <c r="J154" s="41"/>
      <c r="K154" s="44"/>
      <c r="L154" s="41"/>
      <c r="M154" s="8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41"/>
      <c r="J155" s="41"/>
      <c r="K155" s="44"/>
      <c r="L155" s="41"/>
      <c r="M155" s="8"/>
      <c r="N155" s="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41"/>
      <c r="J156" s="41"/>
      <c r="K156" s="44"/>
      <c r="L156" s="41"/>
      <c r="M156" s="8"/>
      <c r="N156" s="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41"/>
      <c r="J157" s="41"/>
      <c r="K157" s="44"/>
      <c r="L157" s="41"/>
      <c r="M157" s="8"/>
      <c r="N157" s="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41"/>
      <c r="J158" s="41"/>
      <c r="K158" s="44"/>
      <c r="L158" s="41"/>
      <c r="M158" s="8"/>
      <c r="N158" s="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41"/>
      <c r="J159" s="41"/>
      <c r="K159" s="44"/>
      <c r="L159" s="41"/>
      <c r="M159" s="8"/>
      <c r="N159" s="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41"/>
      <c r="J160" s="41"/>
      <c r="K160" s="44"/>
      <c r="L160" s="41"/>
      <c r="M160" s="8"/>
      <c r="N160" s="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41"/>
      <c r="J161" s="41"/>
      <c r="K161" s="44"/>
      <c r="L161" s="41"/>
      <c r="M161" s="8"/>
      <c r="N161" s="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41"/>
      <c r="J162" s="41"/>
      <c r="K162" s="44"/>
      <c r="L162" s="41"/>
      <c r="M162" s="8"/>
      <c r="N162" s="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41"/>
      <c r="J163" s="41"/>
      <c r="K163" s="44"/>
      <c r="L163" s="41"/>
      <c r="M163" s="8"/>
      <c r="N163" s="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41"/>
      <c r="J164" s="41"/>
      <c r="K164" s="44"/>
      <c r="L164" s="41"/>
      <c r="M164" s="8"/>
      <c r="N164" s="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41"/>
      <c r="J165" s="41"/>
      <c r="K165" s="44"/>
      <c r="L165" s="41"/>
      <c r="M165" s="8"/>
      <c r="N165" s="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41"/>
      <c r="J166" s="41"/>
      <c r="K166" s="44"/>
      <c r="L166" s="41"/>
      <c r="M166" s="8"/>
      <c r="N166" s="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41"/>
      <c r="J167" s="41"/>
      <c r="K167" s="44"/>
      <c r="L167" s="41"/>
      <c r="M167" s="8"/>
      <c r="N167" s="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41"/>
      <c r="J168" s="41"/>
      <c r="K168" s="44"/>
      <c r="L168" s="41"/>
      <c r="M168" s="8"/>
      <c r="N168" s="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41"/>
      <c r="J169" s="41"/>
      <c r="K169" s="44"/>
      <c r="L169" s="41"/>
      <c r="M169" s="8"/>
      <c r="N169" s="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41"/>
      <c r="J170" s="41"/>
      <c r="K170" s="44"/>
      <c r="L170" s="41"/>
      <c r="M170" s="8"/>
      <c r="N170" s="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41"/>
      <c r="J171" s="41"/>
      <c r="K171" s="44"/>
      <c r="L171" s="41"/>
      <c r="M171" s="8"/>
      <c r="N171" s="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41"/>
      <c r="J172" s="41"/>
      <c r="K172" s="44"/>
      <c r="L172" s="41"/>
      <c r="M172" s="8"/>
      <c r="N172" s="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41"/>
      <c r="J173" s="41"/>
      <c r="K173" s="44"/>
      <c r="L173" s="41"/>
      <c r="M173" s="8"/>
      <c r="N173" s="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41"/>
      <c r="J174" s="41"/>
      <c r="K174" s="44"/>
      <c r="L174" s="41"/>
      <c r="M174" s="8"/>
      <c r="N174" s="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41"/>
      <c r="J175" s="41"/>
      <c r="K175" s="44"/>
      <c r="L175" s="41"/>
      <c r="M175" s="8"/>
      <c r="N175" s="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41"/>
      <c r="J176" s="41"/>
      <c r="K176" s="44"/>
      <c r="L176" s="41"/>
      <c r="M176" s="8"/>
      <c r="N176" s="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41"/>
      <c r="J177" s="41"/>
      <c r="K177" s="44"/>
      <c r="L177" s="41"/>
      <c r="M177" s="8"/>
      <c r="N177" s="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41"/>
      <c r="J178" s="41"/>
      <c r="K178" s="44"/>
      <c r="L178" s="41"/>
      <c r="M178" s="8"/>
      <c r="N178" s="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41"/>
      <c r="J179" s="41"/>
      <c r="K179" s="44"/>
      <c r="L179" s="41"/>
      <c r="M179" s="8"/>
      <c r="N179" s="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41"/>
      <c r="J180" s="41"/>
      <c r="K180" s="44"/>
      <c r="L180" s="41"/>
      <c r="M180" s="8"/>
      <c r="N180" s="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41"/>
      <c r="J181" s="41"/>
      <c r="K181" s="44"/>
      <c r="L181" s="41"/>
      <c r="M181" s="8"/>
      <c r="N181" s="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41"/>
      <c r="J182" s="41"/>
      <c r="K182" s="44"/>
      <c r="L182" s="41"/>
      <c r="M182" s="8"/>
      <c r="N182" s="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41"/>
      <c r="J183" s="41"/>
      <c r="K183" s="44"/>
      <c r="L183" s="41"/>
      <c r="M183" s="8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41"/>
      <c r="J184" s="41"/>
      <c r="K184" s="44"/>
      <c r="L184" s="41"/>
      <c r="M184" s="8"/>
      <c r="N184" s="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41"/>
      <c r="J185" s="41"/>
      <c r="K185" s="44"/>
      <c r="L185" s="41"/>
      <c r="M185" s="8"/>
      <c r="N185" s="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41"/>
      <c r="J186" s="41"/>
      <c r="K186" s="44"/>
      <c r="L186" s="41"/>
      <c r="M186" s="8"/>
      <c r="N186" s="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41"/>
      <c r="J187" s="41"/>
      <c r="K187" s="44"/>
      <c r="L187" s="41"/>
      <c r="M187" s="8"/>
      <c r="N187" s="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41"/>
      <c r="J188" s="41"/>
      <c r="K188" s="44"/>
      <c r="L188" s="41"/>
      <c r="M188" s="8"/>
      <c r="N188" s="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41"/>
      <c r="J189" s="41"/>
      <c r="K189" s="44"/>
      <c r="L189" s="41"/>
      <c r="M189" s="8"/>
      <c r="N189" s="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41"/>
      <c r="J190" s="41"/>
      <c r="K190" s="44"/>
      <c r="L190" s="41"/>
      <c r="M190" s="8"/>
      <c r="N190" s="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41"/>
      <c r="J191" s="41"/>
      <c r="K191" s="44"/>
      <c r="L191" s="41"/>
      <c r="M191" s="8"/>
      <c r="N191" s="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41"/>
      <c r="J192" s="41"/>
      <c r="K192" s="44"/>
      <c r="L192" s="41"/>
      <c r="M192" s="8"/>
      <c r="N192" s="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41"/>
      <c r="J193" s="41"/>
      <c r="K193" s="44"/>
      <c r="L193" s="41"/>
      <c r="M193" s="8"/>
      <c r="N193" s="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41"/>
      <c r="J194" s="41"/>
      <c r="K194" s="44"/>
      <c r="L194" s="41"/>
      <c r="M194" s="8"/>
      <c r="N194" s="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41"/>
      <c r="J195" s="41"/>
      <c r="K195" s="44"/>
      <c r="L195" s="41"/>
      <c r="M195" s="8"/>
      <c r="N195" s="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41"/>
      <c r="J196" s="41"/>
      <c r="K196" s="44"/>
      <c r="L196" s="41"/>
      <c r="M196" s="8"/>
      <c r="N196" s="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41"/>
      <c r="J197" s="41"/>
      <c r="K197" s="44"/>
      <c r="L197" s="41"/>
      <c r="M197" s="8"/>
      <c r="N197" s="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41"/>
      <c r="J198" s="41"/>
      <c r="K198" s="44"/>
      <c r="L198" s="41"/>
      <c r="M198" s="8"/>
      <c r="N198" s="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41"/>
      <c r="J199" s="41"/>
      <c r="K199" s="44"/>
      <c r="L199" s="41"/>
      <c r="M199" s="8"/>
      <c r="N199" s="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41"/>
      <c r="J200" s="41"/>
      <c r="K200" s="44"/>
      <c r="L200" s="41"/>
      <c r="M200" s="8"/>
      <c r="N200" s="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41"/>
      <c r="J201" s="41"/>
      <c r="K201" s="44"/>
      <c r="L201" s="41"/>
      <c r="M201" s="8"/>
      <c r="N201" s="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41"/>
      <c r="J202" s="41"/>
      <c r="K202" s="44"/>
      <c r="L202" s="41"/>
      <c r="M202" s="8"/>
      <c r="N202" s="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41"/>
      <c r="J203" s="41"/>
      <c r="K203" s="44"/>
      <c r="L203" s="41"/>
      <c r="M203" s="8"/>
      <c r="N203" s="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41"/>
      <c r="J204" s="41"/>
      <c r="K204" s="44"/>
      <c r="L204" s="41"/>
      <c r="M204" s="8"/>
      <c r="N204" s="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41"/>
      <c r="J205" s="41"/>
      <c r="K205" s="44"/>
      <c r="L205" s="41"/>
      <c r="M205" s="8"/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41"/>
      <c r="J206" s="41"/>
      <c r="K206" s="44"/>
      <c r="L206" s="41"/>
      <c r="M206" s="8"/>
      <c r="N206" s="8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41"/>
      <c r="J207" s="41"/>
      <c r="K207" s="44"/>
      <c r="L207" s="41"/>
      <c r="M207" s="8"/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41"/>
      <c r="J208" s="41"/>
      <c r="K208" s="44"/>
      <c r="L208" s="41"/>
      <c r="M208" s="8"/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41"/>
      <c r="J209" s="41"/>
      <c r="K209" s="44"/>
      <c r="L209" s="41"/>
      <c r="M209" s="8"/>
      <c r="N209" s="8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41"/>
      <c r="J210" s="41"/>
      <c r="K210" s="44"/>
      <c r="L210" s="41"/>
      <c r="M210" s="8"/>
      <c r="N210" s="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41"/>
      <c r="J211" s="41"/>
      <c r="K211" s="44"/>
      <c r="L211" s="41"/>
      <c r="M211" s="8"/>
      <c r="N211" s="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41"/>
      <c r="J212" s="41"/>
      <c r="K212" s="44"/>
      <c r="L212" s="41"/>
      <c r="M212" s="8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41"/>
      <c r="J213" s="41"/>
      <c r="K213" s="44"/>
      <c r="L213" s="41"/>
      <c r="M213" s="8"/>
      <c r="N213" s="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41"/>
      <c r="J214" s="41"/>
      <c r="K214" s="44"/>
      <c r="L214" s="41"/>
      <c r="M214" s="8"/>
      <c r="N214" s="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41"/>
      <c r="J215" s="41"/>
      <c r="K215" s="44"/>
      <c r="L215" s="41"/>
      <c r="M215" s="8"/>
      <c r="N215" s="8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41"/>
      <c r="J216" s="41"/>
      <c r="K216" s="44"/>
      <c r="L216" s="41"/>
      <c r="M216" s="8"/>
      <c r="N216" s="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41"/>
      <c r="J217" s="41"/>
      <c r="K217" s="44"/>
      <c r="L217" s="41"/>
      <c r="M217" s="8"/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41"/>
      <c r="J218" s="41"/>
      <c r="K218" s="44"/>
      <c r="L218" s="41"/>
      <c r="M218" s="8"/>
      <c r="N218" s="8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41"/>
      <c r="J219" s="41"/>
      <c r="K219" s="44"/>
      <c r="L219" s="41"/>
      <c r="M219" s="8"/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41"/>
      <c r="J220" s="41"/>
      <c r="K220" s="44"/>
      <c r="L220" s="41"/>
      <c r="M220" s="8"/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41"/>
      <c r="J221" s="41"/>
      <c r="K221" s="44"/>
      <c r="L221" s="41"/>
      <c r="M221" s="8"/>
      <c r="N221" s="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41"/>
      <c r="J222" s="41"/>
      <c r="K222" s="44"/>
      <c r="L222" s="41"/>
      <c r="M222" s="8"/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41"/>
      <c r="J223" s="41"/>
      <c r="K223" s="44"/>
      <c r="L223" s="41"/>
      <c r="M223" s="8"/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41"/>
      <c r="J224" s="41"/>
      <c r="K224" s="44"/>
      <c r="L224" s="41"/>
      <c r="M224" s="8"/>
      <c r="N224" s="8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41"/>
      <c r="J225" s="41"/>
      <c r="K225" s="44"/>
      <c r="L225" s="41"/>
      <c r="M225" s="8"/>
      <c r="N225" s="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41"/>
      <c r="J226" s="41"/>
      <c r="K226" s="44"/>
      <c r="L226" s="41"/>
      <c r="M226" s="8"/>
      <c r="N226" s="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41"/>
      <c r="J227" s="41"/>
      <c r="K227" s="44"/>
      <c r="L227" s="41"/>
      <c r="M227" s="8"/>
      <c r="N227" s="8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41"/>
      <c r="J228" s="41"/>
      <c r="K228" s="44"/>
      <c r="L228" s="41"/>
      <c r="M228" s="8"/>
      <c r="N228" s="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41"/>
      <c r="J229" s="41"/>
      <c r="K229" s="44"/>
      <c r="L229" s="41"/>
      <c r="M229" s="8"/>
      <c r="N229" s="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41"/>
      <c r="J230" s="41"/>
      <c r="K230" s="44"/>
      <c r="L230" s="41"/>
      <c r="M230" s="8"/>
      <c r="N230" s="8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41"/>
      <c r="J231" s="41"/>
      <c r="K231" s="44"/>
      <c r="L231" s="41"/>
      <c r="M231" s="8"/>
      <c r="N231" s="8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41"/>
      <c r="J232" s="41"/>
      <c r="K232" s="44"/>
      <c r="L232" s="41"/>
      <c r="M232" s="8"/>
      <c r="N232" s="8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41"/>
      <c r="J233" s="41"/>
      <c r="K233" s="44"/>
      <c r="L233" s="41"/>
      <c r="M233" s="8"/>
      <c r="N233" s="8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41"/>
      <c r="J234" s="41"/>
      <c r="K234" s="44"/>
      <c r="L234" s="41"/>
      <c r="M234" s="8"/>
      <c r="N234" s="8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41"/>
      <c r="J235" s="41"/>
      <c r="K235" s="44"/>
      <c r="L235" s="41"/>
      <c r="M235" s="8"/>
      <c r="N235" s="8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41"/>
      <c r="J236" s="41"/>
      <c r="K236" s="44"/>
      <c r="L236" s="41"/>
      <c r="M236" s="8"/>
      <c r="N236" s="8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41"/>
      <c r="J237" s="41"/>
      <c r="K237" s="44"/>
      <c r="L237" s="41"/>
      <c r="M237" s="8"/>
      <c r="N237" s="8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41"/>
      <c r="J238" s="41"/>
      <c r="K238" s="44"/>
      <c r="L238" s="41"/>
      <c r="M238" s="8"/>
      <c r="N238" s="8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41"/>
      <c r="J239" s="41"/>
      <c r="K239" s="44"/>
      <c r="L239" s="41"/>
      <c r="M239" s="8"/>
      <c r="N239" s="8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41"/>
      <c r="J240" s="41"/>
      <c r="K240" s="44"/>
      <c r="L240" s="41"/>
      <c r="M240" s="8"/>
      <c r="N240" s="8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41"/>
      <c r="J241" s="41"/>
      <c r="K241" s="44"/>
      <c r="L241" s="41"/>
      <c r="M241" s="8"/>
      <c r="N241" s="8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41"/>
      <c r="J242" s="41"/>
      <c r="K242" s="44"/>
      <c r="L242" s="41"/>
      <c r="M242" s="8"/>
      <c r="N242" s="8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41"/>
      <c r="J243" s="41"/>
      <c r="K243" s="44"/>
      <c r="L243" s="41"/>
      <c r="M243" s="8"/>
      <c r="N243" s="8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">
    <mergeCell ref="B3:O3"/>
  </mergeCells>
  <conditionalFormatting sqref="H6:H29 K6:K7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14">
    <cfRule type="colorScale" priority="2">
      <colorScale>
        <cfvo type="min"/>
        <cfvo type="max"/>
        <color rgb="FF57BB8A"/>
        <color rgb="FFFFFFFF"/>
      </colorScale>
    </cfRule>
  </conditionalFormatting>
  <conditionalFormatting sqref="L9">
    <cfRule type="colorScale" priority="3">
      <colorScale>
        <cfvo type="min"/>
        <cfvo type="max"/>
        <color rgb="FF57BB8A"/>
        <color rgb="FFFFFFFF"/>
      </colorScale>
    </cfRule>
  </conditionalFormatting>
  <conditionalFormatting sqref="L12">
    <cfRule type="colorScale" priority="4">
      <colorScale>
        <cfvo type="min"/>
        <cfvo type="max"/>
        <color rgb="FF57BB8A"/>
        <color rgb="FFFFFFFF"/>
      </colorScale>
    </cfRule>
  </conditionalFormatting>
  <dataValidations>
    <dataValidation type="custom" allowBlank="1" showDropDown="1" sqref="J6:J13">
      <formula1>OR(NOT(ISERROR(DATEVALUE(J6))), AND(ISNUMBER(J6), LEFT(CELL("format", J6))="D"))</formula1>
    </dataValidation>
    <dataValidation type="list" allowBlank="1" sqref="H6:H29 K6:L29">
      <formula1>#REF!</formula1>
    </dataValidation>
    <dataValidation type="custom" allowBlank="1" showDropDown="1" sqref="I6:I29">
      <formula1>AND(ISNUMBER(I6),(NOT(OR(NOT(ISERROR(DATEVALUE(I6))), AND(ISNUMBER(I6), LEFT(CELL("format", I6))="D")))))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45"/>
      <c r="D4" s="45"/>
      <c r="E4" s="45"/>
      <c r="F4" s="46"/>
    </row>
    <row r="5" hidden="1">
      <c r="C5" s="45"/>
      <c r="D5" s="45"/>
      <c r="E5" s="45"/>
      <c r="F5" s="46"/>
    </row>
    <row r="6" ht="39.75" customHeight="1">
      <c r="B6" s="47" t="s">
        <v>207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48"/>
      <c r="B7" s="48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9.75" customHeight="1">
      <c r="B8" s="50"/>
      <c r="C8" s="51"/>
      <c r="D8" s="51"/>
      <c r="E8" s="51"/>
      <c r="F8" s="52"/>
      <c r="G8" s="53"/>
      <c r="H8" s="53"/>
      <c r="I8" s="53"/>
      <c r="J8" s="53"/>
      <c r="K8" s="53"/>
      <c r="L8" s="53"/>
      <c r="M8" s="53"/>
      <c r="N8" s="53"/>
      <c r="O8" s="53"/>
      <c r="P8" s="54"/>
      <c r="Q8" s="48"/>
    </row>
    <row r="9" ht="30.0" customHeight="1">
      <c r="B9" s="55"/>
      <c r="C9" s="56" t="s">
        <v>1</v>
      </c>
      <c r="D9" s="57"/>
      <c r="E9" s="58" t="s">
        <v>208</v>
      </c>
      <c r="F9" s="6"/>
      <c r="G9" s="57"/>
      <c r="H9" s="58" t="s">
        <v>11</v>
      </c>
      <c r="I9" s="6"/>
      <c r="J9" s="59"/>
      <c r="K9" s="59"/>
      <c r="L9" s="59"/>
      <c r="M9" s="59"/>
      <c r="N9" s="59"/>
      <c r="O9" s="59"/>
      <c r="P9" s="60"/>
      <c r="Q9" s="48"/>
    </row>
    <row r="10" ht="30.0" customHeight="1">
      <c r="B10" s="55"/>
      <c r="C10" s="61" t="s">
        <v>61</v>
      </c>
      <c r="D10" s="62"/>
      <c r="E10" s="63" t="str">
        <f>VLOOKUP(C10,'Formato descripción HU'!B6:O29,5,0)</f>
        <v>Administrador</v>
      </c>
      <c r="F10" s="6"/>
      <c r="G10" s="64"/>
      <c r="H10" s="63" t="str">
        <f>VLOOKUP(C10,'Formato descripción HU'!B6:O29,11,0)</f>
        <v>No iniciado</v>
      </c>
      <c r="I10" s="6"/>
      <c r="J10" s="64"/>
      <c r="K10" s="59"/>
      <c r="L10" s="59"/>
      <c r="M10" s="59"/>
      <c r="N10" s="59"/>
      <c r="O10" s="59"/>
      <c r="P10" s="60"/>
      <c r="Q10" s="48"/>
    </row>
    <row r="11" ht="9.75" customHeight="1">
      <c r="A11" s="48"/>
      <c r="B11" s="55"/>
      <c r="C11" s="65"/>
      <c r="D11" s="62"/>
      <c r="E11" s="66"/>
      <c r="F11" s="66"/>
      <c r="G11" s="64"/>
      <c r="H11" s="66"/>
      <c r="I11" s="66"/>
      <c r="J11" s="64"/>
      <c r="K11" s="66"/>
      <c r="L11" s="66"/>
      <c r="M11" s="59"/>
      <c r="N11" s="66"/>
      <c r="O11" s="66"/>
      <c r="P11" s="60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30.0" customHeight="1">
      <c r="A12" s="48"/>
      <c r="B12" s="55"/>
      <c r="C12" s="56" t="s">
        <v>209</v>
      </c>
      <c r="D12" s="62"/>
      <c r="E12" s="58" t="s">
        <v>10</v>
      </c>
      <c r="F12" s="6"/>
      <c r="G12" s="64"/>
      <c r="H12" s="58" t="s">
        <v>210</v>
      </c>
      <c r="I12" s="6"/>
      <c r="J12" s="64"/>
      <c r="K12" s="66"/>
      <c r="L12" s="66"/>
      <c r="M12" s="59"/>
      <c r="N12" s="66"/>
      <c r="O12" s="66"/>
      <c r="P12" s="60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30.0" customHeight="1">
      <c r="A13" s="48"/>
      <c r="B13" s="55"/>
      <c r="C13" s="67">
        <f>VLOOKUP('Historia de Usuario'!C10,'Formato descripción HU'!B6:O29,8,0)</f>
        <v>8</v>
      </c>
      <c r="D13" s="62"/>
      <c r="E13" s="63" t="str">
        <f>VLOOKUP(C10,'Formato descripción HU'!B6:O29,10,0)</f>
        <v>Alta</v>
      </c>
      <c r="F13" s="6"/>
      <c r="G13" s="64"/>
      <c r="H13" s="63" t="str">
        <f>VLOOKUP(C10,'Formato descripción HU'!B6:O29,7,0)</f>
        <v>Viscaino Jordy</v>
      </c>
      <c r="I13" s="6"/>
      <c r="J13" s="64"/>
      <c r="K13" s="66"/>
      <c r="L13" s="66"/>
      <c r="M13" s="59"/>
      <c r="N13" s="66"/>
      <c r="O13" s="66"/>
      <c r="P13" s="60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9.75" customHeight="1">
      <c r="A14" s="48"/>
      <c r="B14" s="55"/>
      <c r="C14" s="59"/>
      <c r="D14" s="62"/>
      <c r="E14" s="59"/>
      <c r="F14" s="59"/>
      <c r="G14" s="64"/>
      <c r="H14" s="64"/>
      <c r="I14" s="59"/>
      <c r="J14" s="59"/>
      <c r="K14" s="59"/>
      <c r="L14" s="59"/>
      <c r="M14" s="59"/>
      <c r="N14" s="59"/>
      <c r="O14" s="59"/>
      <c r="P14" s="60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9.5" customHeight="1">
      <c r="A15" s="48"/>
      <c r="B15" s="55"/>
      <c r="C15" s="68" t="s">
        <v>211</v>
      </c>
      <c r="D15" s="69" t="str">
        <f>VLOOKUP(C10,'Formato descripción HU'!B6:O29,3,0)</f>
        <v>Necesito completar y confirmar los datos antes de guardar el producto.</v>
      </c>
      <c r="E15" s="70"/>
      <c r="F15" s="71"/>
      <c r="G15" s="68" t="s">
        <v>212</v>
      </c>
      <c r="H15" s="69" t="str">
        <f>VLOOKUP(C10,'Formato descripción HU'!B6:O29,4,0)</f>
        <v>Para registrar información correcta localmente y sincronizarla con la nube.</v>
      </c>
      <c r="I15" s="72"/>
      <c r="J15" s="70"/>
      <c r="K15" s="71"/>
      <c r="L15" s="68" t="s">
        <v>213</v>
      </c>
      <c r="M15" s="73" t="str">
        <f>VLOOKUP(C10,'Formato descripción HU'!B6:O29,6,0)</f>
        <v>Implementando un formulario de confirmación posterior al escaneo que permita completar precio y ubicación, validar los datos, guardar el producto localmente y enviarlo al servidor.</v>
      </c>
      <c r="N15" s="72"/>
      <c r="O15" s="70"/>
      <c r="P15" s="60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9.5" customHeight="1">
      <c r="A16" s="48"/>
      <c r="B16" s="55"/>
      <c r="C16" s="74"/>
      <c r="D16" s="75"/>
      <c r="E16" s="76"/>
      <c r="F16" s="71"/>
      <c r="G16" s="74"/>
      <c r="H16" s="75"/>
      <c r="J16" s="76"/>
      <c r="K16" s="71"/>
      <c r="L16" s="74"/>
      <c r="M16" s="75"/>
      <c r="O16" s="76"/>
      <c r="P16" s="60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9.5" customHeight="1">
      <c r="A17" s="48"/>
      <c r="B17" s="55"/>
      <c r="C17" s="77"/>
      <c r="D17" s="78"/>
      <c r="E17" s="79"/>
      <c r="F17" s="71"/>
      <c r="G17" s="77"/>
      <c r="H17" s="78"/>
      <c r="I17" s="80"/>
      <c r="J17" s="79"/>
      <c r="K17" s="71"/>
      <c r="L17" s="77"/>
      <c r="M17" s="78"/>
      <c r="N17" s="80"/>
      <c r="O17" s="79"/>
      <c r="P17" s="60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9.75" customHeight="1">
      <c r="A18" s="48"/>
      <c r="B18" s="55"/>
      <c r="C18" s="59"/>
      <c r="D18" s="59"/>
      <c r="E18" s="59"/>
      <c r="F18" s="59"/>
      <c r="G18" s="64"/>
      <c r="H18" s="64"/>
      <c r="I18" s="64"/>
      <c r="J18" s="59"/>
      <c r="K18" s="59"/>
      <c r="L18" s="59"/>
      <c r="M18" s="59"/>
      <c r="N18" s="59"/>
      <c r="O18" s="59"/>
      <c r="P18" s="60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9.5" customHeight="1">
      <c r="B19" s="55"/>
      <c r="C19" s="81" t="s">
        <v>214</v>
      </c>
      <c r="D19" s="70"/>
      <c r="E19" s="82" t="str">
        <f>VLOOKUP(C10,'Formato descripción HU'!B6:O29,14,0)</f>
        <v>Confirmar producto escaneado</v>
      </c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60"/>
      <c r="Q19" s="48"/>
    </row>
    <row r="20" ht="19.5" customHeight="1">
      <c r="B20" s="55"/>
      <c r="C20" s="78"/>
      <c r="D20" s="79"/>
      <c r="E20" s="85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60"/>
      <c r="Q20" s="48"/>
    </row>
    <row r="21" ht="9.75" customHeight="1">
      <c r="B21" s="55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60"/>
      <c r="Q21" s="48"/>
    </row>
    <row r="22" ht="19.5" customHeight="1">
      <c r="A22" s="48"/>
      <c r="B22" s="55"/>
      <c r="C22" s="88" t="s">
        <v>215</v>
      </c>
      <c r="D22" s="70"/>
      <c r="E22" s="89" t="str">
        <f>VLOOKUP(C10,'Formato descripción HU'!B6:O29,12,0)</f>
        <v>El producto solo se registra después de confirmar los datos obligatorios; posteriormente aparece en el inventario local y se sincroniza con el servidor.</v>
      </c>
      <c r="F22" s="72"/>
      <c r="G22" s="72"/>
      <c r="H22" s="70"/>
      <c r="I22" s="59"/>
      <c r="J22" s="88" t="s">
        <v>13</v>
      </c>
      <c r="K22" s="70"/>
      <c r="L22" s="69" t="str">
        <f>VLOOKUP(C10,'Formato descripción HU'!B6:O29,13,0)</f>
        <v>Relacionado con CUC-03.</v>
      </c>
      <c r="M22" s="72"/>
      <c r="N22" s="72"/>
      <c r="O22" s="70"/>
      <c r="P22" s="60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9.5" customHeight="1">
      <c r="A23" s="48"/>
      <c r="B23" s="55"/>
      <c r="C23" s="75"/>
      <c r="D23" s="76"/>
      <c r="E23" s="75"/>
      <c r="H23" s="76"/>
      <c r="I23" s="59"/>
      <c r="J23" s="75"/>
      <c r="K23" s="76"/>
      <c r="L23" s="75"/>
      <c r="O23" s="76"/>
      <c r="P23" s="60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9.5" customHeight="1">
      <c r="A24" s="48"/>
      <c r="B24" s="55"/>
      <c r="C24" s="78"/>
      <c r="D24" s="79"/>
      <c r="E24" s="78"/>
      <c r="F24" s="80"/>
      <c r="G24" s="80"/>
      <c r="H24" s="79"/>
      <c r="I24" s="59"/>
      <c r="J24" s="78"/>
      <c r="K24" s="79"/>
      <c r="L24" s="78"/>
      <c r="M24" s="80"/>
      <c r="N24" s="80"/>
      <c r="O24" s="79"/>
      <c r="P24" s="60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9.75" customHeight="1">
      <c r="A25" s="48"/>
      <c r="B25" s="90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2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9.5" customHeight="1">
      <c r="C26" s="45"/>
      <c r="D26" s="45"/>
      <c r="E26" s="45"/>
      <c r="F26" s="46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5.75" customHeight="1">
      <c r="A27" s="48"/>
      <c r="B27" s="93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9.5" customHeight="1">
      <c r="A28" s="48"/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9.5" customHeight="1">
      <c r="B29" s="48"/>
      <c r="C29" s="45"/>
      <c r="D29" s="45"/>
      <c r="E29" s="45"/>
      <c r="F29" s="46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9.5" customHeight="1">
      <c r="B30" s="48"/>
      <c r="C30" s="94"/>
      <c r="D30" s="95"/>
      <c r="E30" s="94"/>
      <c r="G30" s="95"/>
      <c r="H30" s="94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9.5" customHeight="1">
      <c r="A31" s="48"/>
      <c r="B31" s="48"/>
      <c r="C31" s="94"/>
      <c r="D31" s="96"/>
      <c r="E31" s="94"/>
      <c r="G31" s="97"/>
      <c r="H31" s="94"/>
      <c r="J31" s="97"/>
      <c r="K31" s="98"/>
      <c r="L31" s="98"/>
      <c r="M31" s="48"/>
      <c r="N31" s="98"/>
      <c r="O31" s="9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9.5" customHeight="1">
      <c r="A32" s="48"/>
      <c r="B32" s="48"/>
      <c r="C32" s="99"/>
      <c r="D32" s="96"/>
      <c r="E32" s="98"/>
      <c r="G32" s="97"/>
      <c r="H32" s="98"/>
      <c r="J32" s="97"/>
      <c r="K32" s="98"/>
      <c r="L32" s="98"/>
      <c r="M32" s="48"/>
      <c r="N32" s="98"/>
      <c r="O32" s="98"/>
      <c r="P32" s="48"/>
    </row>
    <row r="33" ht="19.5" customHeight="1">
      <c r="A33" s="48"/>
      <c r="B33" s="48"/>
      <c r="C33" s="48"/>
      <c r="D33" s="96"/>
      <c r="E33" s="48"/>
      <c r="F33" s="48"/>
      <c r="G33" s="97"/>
      <c r="H33" s="97"/>
      <c r="I33" s="48"/>
      <c r="J33" s="48"/>
      <c r="K33" s="48"/>
      <c r="L33" s="48"/>
      <c r="M33" s="48"/>
      <c r="N33" s="48"/>
      <c r="O33" s="48"/>
      <c r="P33" s="48"/>
    </row>
    <row r="34" ht="19.5" customHeight="1">
      <c r="A34" s="48"/>
      <c r="B34" s="48"/>
      <c r="C34" s="94"/>
      <c r="D34" s="100"/>
      <c r="F34" s="101"/>
      <c r="G34" s="94"/>
      <c r="H34" s="100"/>
      <c r="K34" s="101"/>
      <c r="L34" s="94"/>
      <c r="M34" s="102"/>
      <c r="P34" s="48"/>
    </row>
    <row r="35" ht="19.5" customHeight="1">
      <c r="A35" s="48"/>
      <c r="B35" s="48"/>
      <c r="F35" s="101"/>
      <c r="K35" s="101"/>
      <c r="P35" s="48"/>
    </row>
    <row r="36" ht="19.5" customHeight="1">
      <c r="A36" s="48"/>
      <c r="B36" s="48"/>
      <c r="F36" s="101"/>
      <c r="K36" s="101"/>
      <c r="P36" s="48"/>
    </row>
    <row r="37" ht="19.5" customHeight="1">
      <c r="A37" s="48"/>
      <c r="B37" s="48"/>
      <c r="C37" s="48"/>
      <c r="D37" s="48"/>
      <c r="E37" s="48"/>
      <c r="F37" s="48"/>
      <c r="G37" s="97"/>
      <c r="H37" s="97"/>
      <c r="I37" s="97"/>
      <c r="J37" s="48"/>
      <c r="K37" s="48"/>
      <c r="L37" s="48"/>
      <c r="M37" s="48"/>
      <c r="N37" s="48"/>
      <c r="O37" s="48"/>
      <c r="P37" s="48"/>
    </row>
    <row r="38" ht="19.5" customHeight="1">
      <c r="B38" s="48"/>
      <c r="C38" s="103"/>
      <c r="E38" s="99"/>
      <c r="P38" s="48"/>
    </row>
    <row r="39" ht="19.5" customHeight="1">
      <c r="B39" s="48"/>
      <c r="P39" s="48"/>
    </row>
    <row r="40" ht="19.5" customHeight="1"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</row>
    <row r="41" ht="19.5" customHeight="1">
      <c r="A41" s="48"/>
      <c r="B41" s="48"/>
      <c r="C41" s="94"/>
      <c r="E41" s="104"/>
      <c r="I41" s="48"/>
      <c r="J41" s="94"/>
      <c r="L41" s="100"/>
      <c r="P41" s="48"/>
    </row>
    <row r="42" ht="19.5" customHeight="1">
      <c r="A42" s="48"/>
      <c r="B42" s="48"/>
      <c r="I42" s="48"/>
      <c r="P42" s="48"/>
    </row>
    <row r="43" ht="19.5" customHeight="1">
      <c r="A43" s="48"/>
      <c r="B43" s="48"/>
      <c r="I43" s="48"/>
      <c r="P43" s="48"/>
    </row>
    <row r="44" ht="19.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</row>
    <row r="45" ht="19.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</row>
    <row r="46" ht="19.5" customHeight="1">
      <c r="A46" s="48"/>
      <c r="B46" s="105"/>
    </row>
    <row r="47" ht="19.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</row>
    <row r="48" ht="19.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</row>
    <row r="49" ht="19.5" customHeight="1">
      <c r="A49" s="48"/>
      <c r="B49" s="48"/>
      <c r="C49" s="106"/>
      <c r="D49" s="48"/>
      <c r="E49" s="106"/>
      <c r="G49" s="48"/>
      <c r="H49" s="106"/>
      <c r="J49" s="48"/>
      <c r="K49" s="48"/>
      <c r="L49" s="48"/>
      <c r="M49" s="48"/>
      <c r="N49" s="48"/>
      <c r="O49" s="48"/>
      <c r="P49" s="48"/>
    </row>
    <row r="50" ht="19.5" customHeight="1">
      <c r="A50" s="48"/>
      <c r="B50" s="48"/>
      <c r="C50" s="107"/>
      <c r="D50" s="48"/>
      <c r="E50" s="108"/>
      <c r="G50" s="48"/>
      <c r="H50" s="98"/>
      <c r="J50" s="48"/>
      <c r="K50" s="48"/>
      <c r="L50" s="48"/>
      <c r="M50" s="48"/>
      <c r="N50" s="48"/>
      <c r="O50" s="48"/>
      <c r="P50" s="48"/>
    </row>
    <row r="51" ht="19.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</row>
    <row r="52" ht="19.5" customHeight="1">
      <c r="A52" s="48"/>
      <c r="B52" s="48"/>
      <c r="C52" s="106"/>
      <c r="D52" s="48"/>
      <c r="E52" s="106"/>
      <c r="G52" s="48"/>
      <c r="H52" s="106"/>
      <c r="J52" s="48"/>
      <c r="K52" s="48"/>
      <c r="L52" s="48"/>
      <c r="M52" s="48"/>
      <c r="N52" s="48"/>
      <c r="O52" s="48"/>
      <c r="P52" s="48"/>
    </row>
    <row r="53" ht="15.75" customHeight="1">
      <c r="A53" s="48"/>
      <c r="B53" s="48"/>
      <c r="C53" s="107"/>
      <c r="D53" s="48"/>
      <c r="E53" s="108"/>
      <c r="G53" s="48"/>
      <c r="H53" s="108"/>
      <c r="J53" s="48"/>
      <c r="K53" s="48"/>
      <c r="L53" s="48"/>
      <c r="M53" s="48"/>
      <c r="N53" s="48"/>
      <c r="O53" s="48"/>
      <c r="P53" s="48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</row>
    <row r="55" ht="15.75" customHeight="1">
      <c r="A55" s="48"/>
      <c r="B55" s="48"/>
      <c r="C55" s="106"/>
      <c r="D55" s="100"/>
      <c r="F55" s="48"/>
      <c r="G55" s="106"/>
      <c r="H55" s="109"/>
      <c r="K55" s="48"/>
      <c r="L55" s="106"/>
      <c r="M55" s="110"/>
      <c r="P55" s="48"/>
    </row>
    <row r="56" ht="15.75" customHeight="1">
      <c r="A56" s="48"/>
      <c r="B56" s="48"/>
      <c r="F56" s="48"/>
      <c r="K56" s="48"/>
      <c r="P56" s="48"/>
    </row>
    <row r="57" ht="15.75" customHeight="1">
      <c r="A57" s="48"/>
      <c r="B57" s="48"/>
      <c r="F57" s="48"/>
      <c r="K57" s="48"/>
      <c r="P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</row>
    <row r="59" ht="15.75" customHeight="1">
      <c r="A59" s="48"/>
      <c r="B59" s="48"/>
      <c r="C59" s="111"/>
      <c r="E59" s="107"/>
      <c r="P59" s="48"/>
    </row>
    <row r="60" ht="15.75" customHeight="1">
      <c r="A60" s="48"/>
      <c r="B60" s="48"/>
      <c r="P60" s="48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</row>
    <row r="62" ht="15.75" customHeight="1">
      <c r="A62" s="48"/>
      <c r="B62" s="48"/>
      <c r="C62" s="106"/>
      <c r="E62" s="112"/>
      <c r="I62" s="48"/>
      <c r="J62" s="106"/>
      <c r="L62" s="113"/>
      <c r="P62" s="48"/>
    </row>
    <row r="63" ht="15.75" customHeight="1">
      <c r="A63" s="48"/>
      <c r="B63" s="48"/>
      <c r="I63" s="48"/>
      <c r="P63" s="48"/>
    </row>
    <row r="64" ht="15.75" customHeight="1">
      <c r="A64" s="48"/>
      <c r="B64" s="48"/>
      <c r="I64" s="48"/>
      <c r="P64" s="48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15.75" customHeight="1"/>
    <row r="67" ht="9.75" customHeight="1">
      <c r="A67" s="48"/>
      <c r="B67" s="105"/>
    </row>
    <row r="68" ht="27.0" customHeight="1">
      <c r="A68" s="48"/>
      <c r="B68" s="105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15.75" customHeight="1">
      <c r="A71" s="48"/>
      <c r="B71" s="48"/>
      <c r="C71" s="106"/>
      <c r="D71" s="48"/>
      <c r="E71" s="106"/>
      <c r="G71" s="48"/>
      <c r="H71" s="106"/>
      <c r="J71" s="48"/>
      <c r="K71" s="48"/>
      <c r="L71" s="48"/>
      <c r="M71" s="48"/>
      <c r="N71" s="48"/>
      <c r="O71" s="48"/>
      <c r="P71" s="48"/>
    </row>
    <row r="72" ht="15.75" customHeight="1">
      <c r="A72" s="48"/>
      <c r="B72" s="48"/>
      <c r="C72" s="106"/>
      <c r="D72" s="48"/>
      <c r="E72" s="106"/>
      <c r="G72" s="48"/>
      <c r="H72" s="106"/>
      <c r="J72" s="48"/>
      <c r="K72" s="48"/>
      <c r="L72" s="48"/>
      <c r="M72" s="48"/>
      <c r="N72" s="48"/>
      <c r="O72" s="48"/>
      <c r="P72" s="48"/>
    </row>
    <row r="73" ht="15.75" customHeight="1">
      <c r="A73" s="48"/>
      <c r="B73" s="48"/>
      <c r="C73" s="107"/>
      <c r="D73" s="48"/>
      <c r="E73" s="108"/>
      <c r="G73" s="48"/>
      <c r="H73" s="108"/>
      <c r="J73" s="48"/>
      <c r="K73" s="48"/>
      <c r="L73" s="48"/>
      <c r="M73" s="48"/>
      <c r="N73" s="48"/>
      <c r="O73" s="48"/>
      <c r="P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</row>
    <row r="75" ht="15.75" customHeight="1">
      <c r="A75" s="48"/>
      <c r="B75" s="48"/>
      <c r="C75" s="106"/>
      <c r="D75" s="114"/>
      <c r="F75" s="48"/>
      <c r="G75" s="106"/>
      <c r="H75" s="109"/>
      <c r="K75" s="48"/>
      <c r="L75" s="106"/>
      <c r="M75" s="110"/>
      <c r="P75" s="48"/>
    </row>
    <row r="76" ht="15.75" customHeight="1">
      <c r="A76" s="48"/>
      <c r="B76" s="48"/>
      <c r="F76" s="48"/>
      <c r="K76" s="48"/>
      <c r="P76" s="48"/>
    </row>
    <row r="77" ht="15.75" customHeight="1">
      <c r="A77" s="48"/>
      <c r="B77" s="48"/>
      <c r="F77" s="48"/>
      <c r="K77" s="48"/>
      <c r="P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</row>
    <row r="79" ht="15.75" customHeight="1">
      <c r="A79" s="48"/>
      <c r="B79" s="48"/>
      <c r="C79" s="111"/>
      <c r="E79" s="107"/>
      <c r="P79" s="48"/>
    </row>
    <row r="80" ht="15.75" customHeight="1">
      <c r="A80" s="48"/>
      <c r="B80" s="48"/>
      <c r="P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</row>
    <row r="82" ht="15.75" customHeight="1">
      <c r="A82" s="48"/>
      <c r="B82" s="48"/>
      <c r="C82" s="106"/>
      <c r="E82" s="112"/>
      <c r="I82" s="48"/>
      <c r="J82" s="106"/>
      <c r="L82" s="48"/>
      <c r="P82" s="48"/>
    </row>
    <row r="83" ht="15.75" customHeight="1">
      <c r="A83" s="48"/>
      <c r="B83" s="48"/>
      <c r="I83" s="48"/>
      <c r="P83" s="48"/>
    </row>
    <row r="84" ht="15.75" customHeight="1">
      <c r="A84" s="48"/>
      <c r="B84" s="48"/>
      <c r="I84" s="48"/>
      <c r="P84" s="48"/>
    </row>
    <row r="85" ht="15.75" customHeight="1"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</row>
    <row r="86" ht="15.75" customHeight="1">
      <c r="A86" s="48"/>
    </row>
    <row r="87" ht="15.75" customHeight="1">
      <c r="A87" s="48"/>
      <c r="B87" s="105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</row>
    <row r="90" ht="15.75" customHeight="1">
      <c r="A90" s="48"/>
      <c r="B90" s="48"/>
      <c r="C90" s="106"/>
      <c r="D90" s="48"/>
      <c r="E90" s="106"/>
      <c r="G90" s="48"/>
      <c r="H90" s="106"/>
      <c r="J90" s="48"/>
      <c r="K90" s="48"/>
      <c r="L90" s="48"/>
      <c r="M90" s="48"/>
      <c r="N90" s="48"/>
      <c r="O90" s="48"/>
      <c r="P90" s="48"/>
    </row>
    <row r="91" ht="15.75" customHeight="1">
      <c r="A91" s="48"/>
      <c r="B91" s="48"/>
      <c r="C91" s="107"/>
      <c r="D91" s="48"/>
      <c r="E91" s="108"/>
      <c r="G91" s="48"/>
      <c r="H91" s="108"/>
      <c r="J91" s="48"/>
      <c r="K91" s="48"/>
      <c r="L91" s="48"/>
      <c r="M91" s="48"/>
      <c r="N91" s="48"/>
      <c r="O91" s="48"/>
      <c r="P91" s="48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</row>
    <row r="93" ht="15.75" customHeight="1">
      <c r="A93" s="48"/>
      <c r="B93" s="48"/>
      <c r="C93" s="106"/>
      <c r="D93" s="109"/>
      <c r="F93" s="48"/>
      <c r="G93" s="106"/>
      <c r="H93" s="109"/>
      <c r="K93" s="48"/>
      <c r="L93" s="106"/>
      <c r="M93" s="115"/>
      <c r="P93" s="48"/>
    </row>
    <row r="94" ht="15.75" customHeight="1">
      <c r="A94" s="48"/>
      <c r="B94" s="48"/>
      <c r="F94" s="48"/>
      <c r="K94" s="48"/>
      <c r="P94" s="48"/>
    </row>
    <row r="95" ht="15.75" customHeight="1">
      <c r="A95" s="48"/>
      <c r="B95" s="48"/>
      <c r="F95" s="48"/>
      <c r="K95" s="48"/>
      <c r="P95" s="48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</row>
    <row r="97" ht="15.75" customHeight="1">
      <c r="A97" s="48"/>
      <c r="B97" s="48"/>
      <c r="C97" s="111"/>
      <c r="E97" s="107"/>
      <c r="P97" s="48"/>
    </row>
    <row r="98" ht="15.75" customHeight="1">
      <c r="A98" s="48"/>
      <c r="B98" s="48"/>
      <c r="P98" s="48"/>
    </row>
    <row r="99" ht="15.75" customHeight="1">
      <c r="A99" s="48"/>
      <c r="B99" s="48"/>
      <c r="C99" s="48"/>
      <c r="D99" s="48"/>
      <c r="E99" s="116"/>
      <c r="F99" s="116"/>
      <c r="G99" s="116"/>
      <c r="H99" s="116"/>
      <c r="I99" s="48"/>
      <c r="J99" s="48"/>
      <c r="K99" s="48"/>
      <c r="L99" s="48"/>
      <c r="M99" s="48"/>
      <c r="N99" s="48"/>
      <c r="O99" s="48"/>
      <c r="P99" s="48"/>
    </row>
    <row r="100" ht="15.75" customHeight="1">
      <c r="A100" s="48"/>
      <c r="B100" s="48"/>
      <c r="C100" s="106"/>
      <c r="E100" s="117"/>
      <c r="I100" s="48"/>
      <c r="J100" s="106"/>
      <c r="L100" s="48"/>
      <c r="P100" s="48"/>
    </row>
    <row r="101" ht="15.75" customHeight="1">
      <c r="A101" s="48"/>
      <c r="B101" s="48"/>
      <c r="I101" s="48"/>
      <c r="P101" s="48"/>
    </row>
    <row r="102" ht="15.75" customHeight="1">
      <c r="A102" s="48"/>
      <c r="B102" s="48"/>
      <c r="I102" s="48"/>
      <c r="P102" s="48"/>
    </row>
    <row r="103" ht="15.75" customHeight="1"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</row>
    <row r="104" ht="15.75" customHeight="1"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</row>
    <row r="105" ht="15.75" customHeight="1">
      <c r="B105" s="105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H52:I52"/>
    <mergeCell ref="H53:I53"/>
    <mergeCell ref="D55:E57"/>
    <mergeCell ref="G55:G57"/>
    <mergeCell ref="H55:J57"/>
    <mergeCell ref="L55:L57"/>
    <mergeCell ref="M55:O57"/>
    <mergeCell ref="E59:O60"/>
    <mergeCell ref="C55:C57"/>
    <mergeCell ref="C59:D60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C75:C77"/>
    <mergeCell ref="D75:E77"/>
    <mergeCell ref="G75:G77"/>
    <mergeCell ref="H75:J77"/>
    <mergeCell ref="L75:L77"/>
    <mergeCell ref="M75:O77"/>
    <mergeCell ref="E79:O80"/>
    <mergeCell ref="C79:D80"/>
    <mergeCell ref="C82:D84"/>
    <mergeCell ref="E82:H84"/>
    <mergeCell ref="J82:K84"/>
    <mergeCell ref="L82:O84"/>
    <mergeCell ref="B87:P87"/>
    <mergeCell ref="H90:I90"/>
    <mergeCell ref="L93:L95"/>
    <mergeCell ref="M93:O95"/>
    <mergeCell ref="C97:D98"/>
    <mergeCell ref="E97:O98"/>
    <mergeCell ref="C100:D102"/>
    <mergeCell ref="E100:H102"/>
    <mergeCell ref="J100:K102"/>
    <mergeCell ref="L100:O102"/>
    <mergeCell ref="B105:P105"/>
    <mergeCell ref="E90:F90"/>
    <mergeCell ref="E91:F91"/>
    <mergeCell ref="H91:I91"/>
    <mergeCell ref="C93:C95"/>
    <mergeCell ref="D93:E95"/>
    <mergeCell ref="G93:G95"/>
    <mergeCell ref="H93:J9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J41:K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</mergeCells>
  <conditionalFormatting sqref="H10:I11 H50">
    <cfRule type="cellIs" dxfId="4" priority="1" operator="equal">
      <formula>"Atrasado"</formula>
    </cfRule>
  </conditionalFormatting>
  <conditionalFormatting sqref="H10:I11 H50">
    <cfRule type="cellIs" dxfId="5" priority="2" operator="equal">
      <formula>"Terminado"</formula>
    </cfRule>
  </conditionalFormatting>
  <conditionalFormatting sqref="H10:I11 H50">
    <cfRule type="cellIs" dxfId="6" priority="3" operator="equal">
      <formula>"En proceso"</formula>
    </cfRule>
  </conditionalFormatting>
  <conditionalFormatting sqref="H10:I11 H50">
    <cfRule type="cellIs" dxfId="5" priority="4" operator="equal">
      <formula>"No Iniciado"</formula>
    </cfRule>
  </conditionalFormatting>
  <dataValidations>
    <dataValidation type="list" allowBlank="1" showErrorMessage="1" sqref="C10:C11 C50:C51">
      <formula1>'Formato descripción HU'!$B$6:$B$29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